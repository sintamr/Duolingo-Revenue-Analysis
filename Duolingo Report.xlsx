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444994-48FC-4731-A0A1-33805DB1AA1E}" xr6:coauthVersionLast="40" xr6:coauthVersionMax="40" xr10:uidLastSave="{00000000-0000-0000-0000-000000000000}"/>
  <bookViews>
    <workbookView xWindow="0" yWindow="0" windowWidth="23040" windowHeight="8760" activeTab="2" xr2:uid="{0D48EA5E-36CA-443F-8937-54311B4D2863}"/>
  </bookViews>
  <sheets>
    <sheet name="Dataset" sheetId="7" r:id="rId1"/>
    <sheet name="Revenue by Quarter (2020-2026)" sheetId="4" r:id="rId2"/>
    <sheet name="Revenue by Product" sheetId="9" r:id="rId3"/>
    <sheet name="Sales Marketing" sheetId="11" r:id="rId4"/>
    <sheet name="CAC" sheetId="16" r:id="rId5"/>
    <sheet name="Paid, MAU, Convers, Subs" sheetId="14" r:id="rId6"/>
    <sheet name="Paid Subs &amp; ARPPU" sheetId="12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F3" i="16" l="1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G2" i="16" l="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O7" i="9" l="1"/>
</calcChain>
</file>

<file path=xl/sharedStrings.xml><?xml version="1.0" encoding="utf-8"?>
<sst xmlns="http://schemas.openxmlformats.org/spreadsheetml/2006/main" count="825" uniqueCount="89">
  <si>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</si>
  <si>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</si>
  <si>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</si>
  <si>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</si>
  <si>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</si>
  <si>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</si>
  <si>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</si>
  <si>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</si>
  <si>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</si>
  <si>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</si>
  <si>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</si>
  <si>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</si>
  <si>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</si>
  <si>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</si>
  <si>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</si>
  <si>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</si>
  <si>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</si>
  <si>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</si>
  <si>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</si>
  <si>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</si>
  <si>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</si>
  <si>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</si>
  <si>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</si>
  <si>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</si>
  <si>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</si>
  <si>
    <t>Description</t>
  </si>
  <si>
    <t>Monthly active users (MAUs)</t>
  </si>
  <si>
    <t>Daily active users (DAUs)</t>
  </si>
  <si>
    <t>Paid subscribers (period end)</t>
  </si>
  <si>
    <t>Subscription bookings</t>
  </si>
  <si>
    <t>Total bookings</t>
  </si>
  <si>
    <t>Subscription</t>
  </si>
  <si>
    <t>Advertising</t>
  </si>
  <si>
    <t>Duolingo english test</t>
  </si>
  <si>
    <t>In-App purchases</t>
  </si>
  <si>
    <t>Revenues</t>
  </si>
  <si>
    <t>Gross profit</t>
  </si>
  <si>
    <t>Research and development</t>
  </si>
  <si>
    <t>Sales and marketing</t>
  </si>
  <si>
    <t>General and administrative</t>
  </si>
  <si>
    <t>2020</t>
  </si>
  <si>
    <t>2021</t>
  </si>
  <si>
    <t>2022</t>
  </si>
  <si>
    <t>2023</t>
  </si>
  <si>
    <t>2024</t>
  </si>
  <si>
    <t>2025</t>
  </si>
  <si>
    <t>2026</t>
  </si>
  <si>
    <t>Q1</t>
  </si>
  <si>
    <t>Q2</t>
  </si>
  <si>
    <t>Q3</t>
  </si>
  <si>
    <t>Q4</t>
  </si>
  <si>
    <t>Year</t>
  </si>
  <si>
    <t>Quarter</t>
  </si>
  <si>
    <t>QuarterYear</t>
  </si>
  <si>
    <t>Grand Total</t>
  </si>
  <si>
    <t>Revenue</t>
  </si>
  <si>
    <t xml:space="preserve">Other </t>
  </si>
  <si>
    <t>Subscriber penetration of LTM MAU%</t>
  </si>
  <si>
    <t>Non-subscription bookings</t>
  </si>
  <si>
    <t>Gross margin (%)</t>
  </si>
  <si>
    <t>Net (loss) income</t>
  </si>
  <si>
    <t>Net cash provided by operating activities</t>
  </si>
  <si>
    <t>Impairment of capitalized software</t>
  </si>
  <si>
    <t>Column Labels</t>
  </si>
  <si>
    <t>Row Labels</t>
  </si>
  <si>
    <t>(All)</t>
  </si>
  <si>
    <t>Revenue Source</t>
  </si>
  <si>
    <t>Amount</t>
  </si>
  <si>
    <t>Other</t>
  </si>
  <si>
    <t>Sum of Amount</t>
  </si>
  <si>
    <t>MAU</t>
  </si>
  <si>
    <t>Paid Subscribers</t>
  </si>
  <si>
    <t>Conversion Rate</t>
  </si>
  <si>
    <t xml:space="preserve">MAU </t>
  </si>
  <si>
    <t>ARPPU</t>
  </si>
  <si>
    <t>Total Revenue</t>
  </si>
  <si>
    <t>Sales and Marketing</t>
  </si>
  <si>
    <t>-</t>
  </si>
  <si>
    <t>New Member</t>
  </si>
  <si>
    <t>CAC</t>
  </si>
  <si>
    <t>Sum of CAC</t>
  </si>
  <si>
    <t xml:space="preserve">Sales and Marketing </t>
  </si>
  <si>
    <t>Total Revenue (subscription)</t>
  </si>
  <si>
    <t xml:space="preserve"> Paid Subscribers</t>
  </si>
  <si>
    <t xml:space="preserve"> Conversion Rate</t>
  </si>
  <si>
    <t>Subscriptions</t>
  </si>
  <si>
    <t xml:space="preserve"> Subscriptions</t>
  </si>
  <si>
    <t xml:space="preserve"> ARPPU</t>
  </si>
  <si>
    <t xml:space="preserve">  Paid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</si>
</sst>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##,##0.0;\ \(##,##0.0\)"/>
    <numFmt numFmtId="165" formatCode="##,##0;\ \(##,##0\)"/>
    <numFmt numFmtId="166" formatCode="##,##0.0%;\ \(##,##0.0%\)"/>
    <numFmt numFmtId="167" formatCode="&quot;$&quot;#,##0"/>
    <numFmt numFmtId="169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0.5"/>
      <name val="Calibri"/>
      <family val="2"/>
    </font>
    <font>
      <sz val="8.5"/>
      <color rgb="FF000000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.5"/>
      <color theme="0"/>
      <name val="Verdana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 style="thin">
        <color theme="9" tint="0.39997558519241921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D0D0D0"/>
      </left>
      <right/>
      <top style="thin">
        <color rgb="FFD0D0D0"/>
      </top>
      <bottom style="thin">
        <color theme="9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0" borderId="0" xfId="0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6" fontId="2" fillId="0" borderId="1" xfId="0" applyNumberFormat="1" applyFont="1" applyFill="1" applyBorder="1" applyAlignment="1">
      <alignment horizontal="righ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6" fontId="5" fillId="0" borderId="2" xfId="0" applyNumberFormat="1" applyFont="1" applyBorder="1" applyAlignment="1">
      <alignment horizontal="right" wrapText="1"/>
    </xf>
    <xf numFmtId="6" fontId="5" fillId="0" borderId="3" xfId="0" applyNumberFormat="1" applyFont="1" applyBorder="1" applyAlignment="1">
      <alignment horizontal="right" wrapText="1"/>
    </xf>
    <xf numFmtId="44" fontId="0" fillId="0" borderId="0" xfId="0" applyNumberFormat="1"/>
    <xf numFmtId="0" fontId="4" fillId="0" borderId="0" xfId="0" applyFont="1"/>
    <xf numFmtId="0" fontId="6" fillId="0" borderId="1" xfId="0" applyFont="1" applyFill="1" applyBorder="1" applyAlignment="1" applyProtection="1">
      <alignment horizontal="left"/>
      <protection locked="0"/>
    </xf>
    <xf numFmtId="167" fontId="2" fillId="0" borderId="1" xfId="0" applyNumberFormat="1" applyFont="1" applyFill="1" applyBorder="1" applyAlignment="1">
      <alignment horizontal="right"/>
    </xf>
    <xf numFmtId="2" fontId="0" fillId="0" borderId="0" xfId="0" applyNumberFormat="1"/>
    <xf numFmtId="169" fontId="0" fillId="0" borderId="0" xfId="0" applyNumberFormat="1"/>
    <xf numFmtId="167" fontId="0" fillId="0" borderId="0" xfId="0" applyNumberFormat="1"/>
    <xf numFmtId="0" fontId="0" fillId="3" borderId="4" xfId="0" applyFont="1" applyFill="1" applyBorder="1"/>
    <xf numFmtId="0" fontId="0" fillId="3" borderId="5" xfId="0" applyFont="1" applyFill="1" applyBorder="1"/>
    <xf numFmtId="165" fontId="2" fillId="3" borderId="6" xfId="0" applyNumberFormat="1" applyFont="1" applyFill="1" applyBorder="1" applyAlignment="1">
      <alignment horizontal="right"/>
    </xf>
    <xf numFmtId="0" fontId="0" fillId="3" borderId="7" xfId="0" applyFont="1" applyFill="1" applyBorder="1"/>
    <xf numFmtId="0" fontId="0" fillId="0" borderId="5" xfId="0" applyFont="1" applyBorder="1"/>
    <xf numFmtId="165" fontId="2" fillId="0" borderId="6" xfId="0" applyNumberFormat="1" applyFont="1" applyBorder="1" applyAlignment="1">
      <alignment horizontal="right"/>
    </xf>
    <xf numFmtId="0" fontId="0" fillId="0" borderId="7" xfId="0" applyFont="1" applyBorder="1"/>
    <xf numFmtId="165" fontId="2" fillId="3" borderId="8" xfId="0" applyNumberFormat="1" applyFont="1" applyFill="1" applyBorder="1" applyAlignment="1">
      <alignment horizontal="right"/>
    </xf>
    <xf numFmtId="0" fontId="0" fillId="3" borderId="9" xfId="0" applyFont="1" applyFill="1" applyBorder="1"/>
    <xf numFmtId="44" fontId="0" fillId="3" borderId="5" xfId="1" applyNumberFormat="1" applyFont="1" applyFill="1" applyBorder="1"/>
    <xf numFmtId="0" fontId="7" fillId="4" borderId="0" xfId="0" applyFont="1" applyFill="1" applyBorder="1"/>
    <xf numFmtId="165" fontId="2" fillId="3" borderId="10" xfId="0" applyNumberFormat="1" applyFont="1" applyFill="1" applyBorder="1" applyAlignment="1">
      <alignment horizontal="right"/>
    </xf>
    <xf numFmtId="165" fontId="2" fillId="0" borderId="10" xfId="0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rgb="FFD0D0D0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165" formatCode="##,##0;\ \(##,##0\)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2" formatCode="0.00"/>
    </dxf>
    <dxf>
      <numFmt numFmtId="34" formatCode="_(&quot;$&quot;* #,##0.00_);_(&quot;$&quot;* \(#,##0.00\);_(&quot;$&quot;* &quot;-&quot;??_);_(@_)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165" formatCode="##,##0;\ \(##,##0\)"/>
      <fill>
        <patternFill patternType="solid">
          <fgColor theme="9" tint="0.79998168889431442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theme="9" tint="0.39997558519241921"/>
        </bottom>
        <vertical/>
        <horizontal/>
      </border>
    </dxf>
    <dxf>
      <numFmt numFmtId="167" formatCode="&quot;$&quot;#,##0"/>
    </dxf>
    <dxf>
      <numFmt numFmtId="14" formatCode="0.00%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165" formatCode="##,##0;\ \(##,##0\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numFmt numFmtId="169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167" formatCode="&quot;$&quot;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165" formatCode="##,##0;\ \(##,##0\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right style="thin">
          <color rgb="FFD0D0D0"/>
        </right>
      </border>
    </dxf>
    <dxf>
      <border outline="0">
        <right style="thin">
          <color rgb="FFD0D0D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  <protection locked="0" hidden="0"/>
    </dxf>
    <dxf>
      <numFmt numFmtId="10" formatCode="&quot;$&quot;#,##0_);[Red]\(&quot;$&quot;#,##0\)"/>
    </dxf>
    <dxf>
      <border outline="0">
        <right style="medium">
          <color rgb="FFCCCCCC"/>
        </right>
      </border>
    </dxf>
    <dxf>
      <numFmt numFmtId="14" formatCode="0.00%"/>
    </dxf>
    <dxf>
      <numFmt numFmtId="167" formatCode="&quot;$&quot;#,##0"/>
    </dxf>
    <dxf>
      <alignment horizontal="right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NETFLIX.xlsx]Revenue by Quarter (2020-2026)!PivotTable2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Quarter (2020-2026)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Quarter (2020-2026)'!$B$3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3F7-4D2C-ADB8-C730B85DE723}"/>
              </c:ext>
            </c:extLst>
          </c:dPt>
          <c:dLbls>
            <c:numFmt formatCode="&quot;$&quot;#,##0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'Revenue by Quarter (2020-2026)'!$A$4:$A$36</c:f>
              <c:multiLvlStrCache>
                <c:ptCount val="25"/>
                <c:lvl>
                  <c:pt idx="0">
                    <c:v>Q1 20</c:v>
                  </c:pt>
                  <c:pt idx="1">
                    <c:v>Q2 20</c:v>
                  </c:pt>
                  <c:pt idx="2">
                    <c:v>Q3 20</c:v>
                  </c:pt>
                  <c:pt idx="3">
                    <c:v>Q4 20</c:v>
                  </c:pt>
                  <c:pt idx="4">
                    <c:v>Q1 21</c:v>
                  </c:pt>
                  <c:pt idx="5">
                    <c:v>Q2 21</c:v>
                  </c:pt>
                  <c:pt idx="6">
                    <c:v>Q3 21</c:v>
                  </c:pt>
                  <c:pt idx="7">
                    <c:v>Q4 21</c:v>
                  </c:pt>
                  <c:pt idx="8">
                    <c:v>Q1 22</c:v>
                  </c:pt>
                  <c:pt idx="9">
                    <c:v>Q2 22</c:v>
                  </c:pt>
                  <c:pt idx="10">
                    <c:v>Q3 22</c:v>
                  </c:pt>
                  <c:pt idx="11">
                    <c:v>Q4 22</c:v>
                  </c:pt>
                  <c:pt idx="12">
                    <c:v>Q1 23</c:v>
                  </c:pt>
                  <c:pt idx="13">
                    <c:v>Q2 23</c:v>
                  </c:pt>
                  <c:pt idx="14">
                    <c:v>Q3 23</c:v>
                  </c:pt>
                  <c:pt idx="15">
                    <c:v>Q4 23</c:v>
                  </c:pt>
                  <c:pt idx="16">
                    <c:v>Q1 24</c:v>
                  </c:pt>
                  <c:pt idx="17">
                    <c:v>Q2 24</c:v>
                  </c:pt>
                  <c:pt idx="18">
                    <c:v>Q3 24</c:v>
                  </c:pt>
                  <c:pt idx="19">
                    <c:v>Q4 24</c:v>
                  </c:pt>
                  <c:pt idx="20">
                    <c:v>Q1 25</c:v>
                  </c:pt>
                  <c:pt idx="21">
                    <c:v>Q2 25</c:v>
                  </c:pt>
                  <c:pt idx="22">
                    <c:v>Q3 25</c:v>
                  </c:pt>
                  <c:pt idx="23">
                    <c:v>Q4 25</c:v>
                  </c:pt>
                  <c:pt idx="24">
                    <c:v>Q1 26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  <c:pt idx="8">
                    <c:v>2022</c:v>
                  </c:pt>
                  <c:pt idx="12">
                    <c:v>2023</c:v>
                  </c:pt>
                  <c:pt idx="16">
                    <c:v>2024</c:v>
                  </c:pt>
                  <c:pt idx="20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'Revenue by Quarter (2020-2026)'!$B$4:$B$36</c:f>
              <c:numCache>
                <c:formatCode>"$"#,##0_);[Red]\("$"#,##0\)</c:formatCode>
                <c:ptCount val="25"/>
                <c:pt idx="0">
                  <c:v>28112</c:v>
                </c:pt>
                <c:pt idx="1">
                  <c:v>40011</c:v>
                </c:pt>
                <c:pt idx="2">
                  <c:v>45305</c:v>
                </c:pt>
                <c:pt idx="3">
                  <c:v>48268</c:v>
                </c:pt>
                <c:pt idx="4">
                  <c:v>55360</c:v>
                </c:pt>
                <c:pt idx="5">
                  <c:v>58803</c:v>
                </c:pt>
                <c:pt idx="6">
                  <c:v>63595</c:v>
                </c:pt>
                <c:pt idx="7">
                  <c:v>73014</c:v>
                </c:pt>
                <c:pt idx="8">
                  <c:v>81220</c:v>
                </c:pt>
                <c:pt idx="9">
                  <c:v>88386</c:v>
                </c:pt>
                <c:pt idx="10">
                  <c:v>96065</c:v>
                </c:pt>
                <c:pt idx="11">
                  <c:v>103824</c:v>
                </c:pt>
                <c:pt idx="12">
                  <c:v>115661</c:v>
                </c:pt>
                <c:pt idx="13">
                  <c:v>126839</c:v>
                </c:pt>
                <c:pt idx="14">
                  <c:v>137624</c:v>
                </c:pt>
                <c:pt idx="15">
                  <c:v>150985</c:v>
                </c:pt>
                <c:pt idx="16">
                  <c:v>167553</c:v>
                </c:pt>
                <c:pt idx="17">
                  <c:v>178327</c:v>
                </c:pt>
                <c:pt idx="18">
                  <c:v>192594</c:v>
                </c:pt>
                <c:pt idx="19">
                  <c:v>209550</c:v>
                </c:pt>
                <c:pt idx="20">
                  <c:v>230743</c:v>
                </c:pt>
                <c:pt idx="21">
                  <c:v>252265</c:v>
                </c:pt>
                <c:pt idx="22">
                  <c:v>271713</c:v>
                </c:pt>
                <c:pt idx="23">
                  <c:v>282868</c:v>
                </c:pt>
                <c:pt idx="24">
                  <c:v>291967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9-49DB-8DB1-2979C58511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31"/>
        <c:axId val="615083999"/>
        <c:axId val="615664783"/>
      </c:barChart>
      <c:catAx>
        <c:axId val="6150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664783"/>
        <c:crosses val="autoZero"/>
        <c:auto val="1"/>
        <c:lblAlgn val="ctr"/>
        <c:lblOffset val="100"/>
        <c:noMultiLvlLbl val="0"/>
      </c:catAx>
      <c:valAx>
        <c:axId val="615664783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61508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NETFLIX.xlsx]Revenue by Product!PivotTable5</c:name>
    <c:fmtId val="0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by Product'!$H$5:$H$6</c:f>
              <c:strCache>
                <c:ptCount val="1"/>
                <c:pt idx="0">
                  <c:v>Advertising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Product'!$G$7:$G$14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'Revenue by Product'!$H$7:$H$14</c:f>
              <c:numCache>
                <c:formatCode>0.00%</c:formatCode>
                <c:ptCount val="7"/>
                <c:pt idx="0">
                  <c:v>0.17814456459874786</c:v>
                </c:pt>
                <c:pt idx="1">
                  <c:v>0.16753973988439305</c:v>
                </c:pt>
                <c:pt idx="2">
                  <c:v>0.1446441763112534</c:v>
                </c:pt>
                <c:pt idx="3">
                  <c:v>0.10109830909059313</c:v>
                </c:pt>
                <c:pt idx="4">
                  <c:v>7.7300913740726812E-2</c:v>
                </c:pt>
                <c:pt idx="5">
                  <c:v>7.7497475546387112E-2</c:v>
                </c:pt>
                <c:pt idx="6">
                  <c:v>7.0603869615401743E-2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4-4D15-BDDC-35C47AA29A27}"/>
            </c:ext>
          </c:extLst>
        </c:ser>
        <c:ser>
          <c:idx val="1"/>
          <c:order val="1"/>
          <c:tx>
            <c:strRef>
              <c:f>'Revenue by Product'!$I$5:$I$6</c:f>
              <c:strCache>
                <c:ptCount val="1"/>
                <c:pt idx="0">
                  <c:v>Duolingo english test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Product'!$G$7:$G$14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'Revenue by Product'!$I$7:$I$14</c:f>
              <c:numCache>
                <c:formatCode>0.00%</c:formatCode>
                <c:ptCount val="7"/>
                <c:pt idx="0">
                  <c:v>2.6785714285714284E-2</c:v>
                </c:pt>
                <c:pt idx="1">
                  <c:v>9.0950144508670519E-2</c:v>
                </c:pt>
                <c:pt idx="2">
                  <c:v>9.9482885988672734E-2</c:v>
                </c:pt>
                <c:pt idx="3">
                  <c:v>8.1651981996072501E-2</c:v>
                </c:pt>
                <c:pt idx="4">
                  <c:v>7.6125166365269503E-2</c:v>
                </c:pt>
                <c:pt idx="5">
                  <c:v>5.1945237775360469E-2</c:v>
                </c:pt>
                <c:pt idx="6">
                  <c:v>3.8761229865018995E-2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4-4D15-BDDC-35C47AA29A27}"/>
            </c:ext>
          </c:extLst>
        </c:ser>
        <c:ser>
          <c:idx val="2"/>
          <c:order val="2"/>
          <c:tx>
            <c:strRef>
              <c:f>'Revenue by Product'!$J$5:$J$6</c:f>
              <c:strCache>
                <c:ptCount val="1"/>
                <c:pt idx="0">
                  <c:v>In-App 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Product'!$G$7:$G$14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'Revenue by Product'!$J$7:$J$14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6.822723876057904E-2</c:v>
                </c:pt>
                <c:pt idx="4">
                  <c:v>5.9229020071261032E-2</c:v>
                </c:pt>
                <c:pt idx="5">
                  <c:v>4.0919984571579637E-2</c:v>
                </c:pt>
                <c:pt idx="6">
                  <c:v>2.8927926786246391E-2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44-4D15-BDDC-35C47AA29A27}"/>
            </c:ext>
          </c:extLst>
        </c:ser>
        <c:ser>
          <c:idx val="3"/>
          <c:order val="3"/>
          <c:tx>
            <c:strRef>
              <c:f>'Revenue by Product'!$K$5:$K$6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Product'!$G$7:$G$14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'Revenue by Product'!$K$7:$K$14</c:f>
              <c:numCache>
                <c:formatCode>0.00%</c:formatCode>
                <c:ptCount val="7"/>
                <c:pt idx="0">
                  <c:v>6.4029595902105859E-3</c:v>
                </c:pt>
                <c:pt idx="1">
                  <c:v>1.7973265895953758E-2</c:v>
                </c:pt>
                <c:pt idx="2">
                  <c:v>4.1639990150209305E-2</c:v>
                </c:pt>
                <c:pt idx="3">
                  <c:v>1.4771562136141667E-4</c:v>
                </c:pt>
                <c:pt idx="4">
                  <c:v>1.3965730246548852E-3</c:v>
                </c:pt>
                <c:pt idx="5">
                  <c:v>1.9328863714175512E-3</c:v>
                </c:pt>
                <c:pt idx="6">
                  <c:v>2.3358804248425334E-3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44-4D15-BDDC-35C47AA29A27}"/>
            </c:ext>
          </c:extLst>
        </c:ser>
        <c:ser>
          <c:idx val="4"/>
          <c:order val="4"/>
          <c:tx>
            <c:strRef>
              <c:f>'Revenue by Product'!$L$5:$L$6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Product'!$G$7:$G$14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'Revenue by Product'!$L$7:$L$14</c:f>
              <c:numCache>
                <c:formatCode>0.00%</c:formatCode>
                <c:ptCount val="7"/>
                <c:pt idx="0">
                  <c:v>0.78866676152532722</c:v>
                </c:pt>
                <c:pt idx="1">
                  <c:v>0.72353684971098264</c:v>
                </c:pt>
                <c:pt idx="2">
                  <c:v>0.71423294754986455</c:v>
                </c:pt>
                <c:pt idx="3">
                  <c:v>0.74887475453139396</c:v>
                </c:pt>
                <c:pt idx="4">
                  <c:v>0.78594832679808779</c:v>
                </c:pt>
                <c:pt idx="5">
                  <c:v>0.82770441573525522</c:v>
                </c:pt>
                <c:pt idx="6">
                  <c:v>0.85937109330849037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44-4D15-BDDC-35C47AA29A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"/>
        <c:overlap val="100"/>
        <c:axId val="1725087392"/>
        <c:axId val="1726377872"/>
      </c:barChart>
      <c:catAx>
        <c:axId val="17250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77872"/>
        <c:crosses val="autoZero"/>
        <c:auto val="1"/>
        <c:lblAlgn val="ctr"/>
        <c:lblOffset val="100"/>
        <c:noMultiLvlLbl val="0"/>
      </c:catAx>
      <c:valAx>
        <c:axId val="17263778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0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NETFLIX.xlsx]Sales Marketing!PivotTable40</c:name>
    <c:fmtId val="0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60325" cap="rnd">
            <a:solidFill>
              <a:schemeClr val="accent1"/>
            </a:solidFill>
            <a:round/>
          </a:ln>
          <a:effectLst/>
        </c:spPr>
        <c:marker>
          <c:symbol val="circle"/>
          <c:size val="11"/>
          <c:spPr>
            <a:solidFill>
              <a:schemeClr val="accent2"/>
            </a:solidFill>
            <a:ln w="28575">
              <a:solidFill>
                <a:schemeClr val="bg1"/>
              </a:solidFill>
            </a:ln>
            <a:effectLst/>
          </c:spPr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Marketing'!$H$3</c:f>
              <c:strCache>
                <c:ptCount val="1"/>
                <c:pt idx="0">
                  <c:v>Total Revenue (subscription)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Marketing'!$G$4:$G$11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'Sales Marketing'!$H$4:$H$11</c:f>
              <c:numCache>
                <c:formatCode>General</c:formatCode>
                <c:ptCount val="7"/>
                <c:pt idx="0">
                  <c:v>28112</c:v>
                </c:pt>
                <c:pt idx="1">
                  <c:v>55360</c:v>
                </c:pt>
                <c:pt idx="2">
                  <c:v>81220</c:v>
                </c:pt>
                <c:pt idx="3">
                  <c:v>115661</c:v>
                </c:pt>
                <c:pt idx="4">
                  <c:v>167553</c:v>
                </c:pt>
                <c:pt idx="5">
                  <c:v>230743</c:v>
                </c:pt>
                <c:pt idx="6">
                  <c:v>291967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9ED-84D0-4829869233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758948656"/>
        <c:axId val="817334720"/>
      </c:barChart>
      <c:lineChart>
        <c:grouping val="standard"/>
        <c:varyColors val="0"/>
        <c:ser>
          <c:idx val="1"/>
          <c:order val="1"/>
          <c:tx>
            <c:strRef>
              <c:f>'Sales Marketing'!$I$3</c:f>
              <c:strCache>
                <c:ptCount val="1"/>
                <c:pt idx="0">
                  <c:v>Sales and Marketing </c:v>
                </c:pt>
              </c:strCache>
            </c:strRef>
          </c:tx>
          <c:spPr>
            <a:ln w="603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2"/>
              </a:solidFill>
              <a:ln w="28575">
                <a:solidFill>
                  <a:schemeClr val="bg1"/>
                </a:solidFill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Marketing'!$G$4:$G$11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'Sales Marketing'!$I$4:$I$11</c:f>
              <c:numCache>
                <c:formatCode>General</c:formatCode>
                <c:ptCount val="7"/>
                <c:pt idx="0">
                  <c:v>5511</c:v>
                </c:pt>
                <c:pt idx="1">
                  <c:v>19773</c:v>
                </c:pt>
                <c:pt idx="2">
                  <c:v>14940</c:v>
                </c:pt>
                <c:pt idx="3">
                  <c:v>16601</c:v>
                </c:pt>
                <c:pt idx="4">
                  <c:v>19931</c:v>
                </c:pt>
                <c:pt idx="5">
                  <c:v>26662</c:v>
                </c:pt>
                <c:pt idx="6">
                  <c:v>39249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9-49ED-84D0-48298692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948656"/>
        <c:axId val="817334720"/>
      </c:lineChart>
      <c:catAx>
        <c:axId val="17589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34720"/>
        <c:crosses val="autoZero"/>
        <c:auto val="1"/>
        <c:lblAlgn val="ctr"/>
        <c:lblOffset val="100"/>
        <c:noMultiLvlLbl val="0"/>
      </c:catAx>
      <c:valAx>
        <c:axId val="817334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894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[LAPORAN NETFLIX.xlsx]CAC!PivotTable41</c:name>
    <c:fmtId val="0"/>
  </c:pivotSource>
  <c:chart>
    <c:autoTitleDeleted val="1"/>
    <c:pivotFmts>
      <c:pivotFmt>
        <c:idx val="0"/>
        <c:spPr>
          <a:ln w="31750" cap="rnd">
            <a:solidFill>
              <a:srgbClr val="FFC000"/>
            </a:solidFill>
            <a:round/>
          </a:ln>
          <a:effectLst/>
        </c:spPr>
        <c:marker>
          <c:symbol val="circle"/>
          <c:size val="11"/>
          <c:spPr>
            <a:solidFill>
              <a:schemeClr val="bg1"/>
            </a:solidFill>
            <a:ln w="44450">
              <a:solidFill>
                <a:srgbClr val="00B0F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CAC!$K$5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bg1"/>
              </a:solidFill>
              <a:ln w="44450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CAC!$J$6:$J$13</c:f>
              <c:strCache>
                <c:ptCount val="7"/>
                <c:pt idx="0">
                  <c:v>Q1 20</c:v>
                </c:pt>
                <c:pt idx="1">
                  <c:v>Q1 21</c:v>
                </c:pt>
                <c:pt idx="2">
                  <c:v>Q1 22</c:v>
                </c:pt>
                <c:pt idx="3">
                  <c:v>Q1 23</c:v>
                </c:pt>
                <c:pt idx="4">
                  <c:v>Q1 24</c:v>
                </c:pt>
                <c:pt idx="5">
                  <c:v>Q1 25</c:v>
                </c:pt>
                <c:pt idx="6">
                  <c:v>Q1 26</c:v>
                </c:pt>
              </c:strCache>
            </c:strRef>
          </c:cat>
          <c:val>
            <c:numRef>
              <c:f>CAC!$K$6:$K$13</c:f>
              <c:numCache>
                <c:formatCode>"$"#,##0.00</c:formatCode>
                <c:ptCount val="7"/>
                <c:pt idx="0">
                  <c:v>#N/A</c:v>
                </c:pt>
                <c:pt idx="1">
                  <c:v>98.865000000000023</c:v>
                </c:pt>
                <c:pt idx="2">
                  <c:v>37.350000000000009</c:v>
                </c:pt>
                <c:pt idx="3">
                  <c:v>27.668333333333351</c:v>
                </c:pt>
                <c:pt idx="4">
                  <c:v>24.913749999999979</c:v>
                </c:pt>
                <c:pt idx="5">
                  <c:v>33.327499999999972</c:v>
                </c:pt>
                <c:pt idx="6">
                  <c:v>130.8299999999997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8-46C3-B177-8BB0B9CEC6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0179999"/>
        <c:axId val="642938335"/>
      </c:lineChart>
      <c:catAx>
        <c:axId val="170017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38335"/>
        <c:crosses val="autoZero"/>
        <c:auto val="1"/>
        <c:lblAlgn val="ctr"/>
        <c:lblOffset val="100"/>
        <c:noMultiLvlLbl val="0"/>
      </c:catAx>
      <c:valAx>
        <c:axId val="642938335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70017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227964</xdr:colOff>
      <xdr:row>3</xdr:row>
      <xdr:rowOff>39371</xdr:rowOff>
    </xdr:from>
    <xdr:to>
      <xdr:col>17</xdr:col>
      <xdr:colOff>548639</xdr:colOff>
      <xdr:row>21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5C364-9174-4994-B0B3-985D6BA60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1556350</xdr:colOff>
      <xdr:row>16</xdr:row>
      <xdr:rowOff>141514</xdr:rowOff>
    </xdr:from>
    <xdr:to>
      <xdr:col>13</xdr:col>
      <xdr:colOff>676294</xdr:colOff>
      <xdr:row>37</xdr:row>
      <xdr:rowOff>185056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4CA86-BA3E-4314-BAF0-F5EDEDF9A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206644</xdr:colOff>
      <xdr:row>2</xdr:row>
      <xdr:rowOff>152399</xdr:rowOff>
    </xdr:from>
    <xdr:to>
      <xdr:col>19</xdr:col>
      <xdr:colOff>86762</xdr:colOff>
      <xdr:row>23</xdr:row>
      <xdr:rowOff>82176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FCAB8-FE7E-4528-8D6A-C70E11F29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602188</xdr:colOff>
      <xdr:row>2</xdr:row>
      <xdr:rowOff>14695</xdr:rowOff>
    </xdr:from>
    <xdr:to>
      <xdr:col>16</xdr:col>
      <xdr:colOff>535021</xdr:colOff>
      <xdr:row>17</xdr:row>
      <xdr:rowOff>97276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31F8E8-AC59-4A64-A2C8-CAA1B82B8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LAPORAN%20NETFLIX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5.874300115742" createdVersion="6" refreshedVersion="6" minRefreshableVersion="3" recordCount="25" xr:uid="{033F26B6-8AC6-4FAA-A261-6BB0747FBE9F}">
  <cacheSource type="worksheet">
    <worksheetSource ref="A1:R26" sheet="Sheet2"/>
  </cacheSource>
  <cacheFields count="18">
    <cacheField name="QuarterYear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49">
      <sharedItems count="7">
        <s v="2020"/>
        <s v="2021"/>
        <s v="2022"/>
        <s v="2023"/>
        <s v="2024"/>
        <s v="2025"/>
        <s v="2026"/>
      </sharedItems>
    </cacheField>
    <cacheField name="Revenues" numFmtId="165">
      <sharedItems containsSemiMixedTypes="0" containsString="0" containsNumber="1" containsInteger="1" minValue="28112" maxValue="291967"/>
    </cacheField>
    <cacheField name="Gross profit" numFmtId="165">
      <sharedItems containsSemiMixedTypes="0" containsString="0" containsNumber="1" containsInteger="1" minValue="19898" maxValue="213096"/>
    </cacheField>
    <cacheField name="Research and development" numFmtId="165">
      <sharedItems containsSemiMixedTypes="0" containsString="0" containsNumber="1" containsInteger="1" minValue="9576" maxValue="82974"/>
    </cacheField>
    <cacheField name="Sales and marketing" numFmtId="165">
      <sharedItems containsSemiMixedTypes="0" containsString="0" containsNumber="1" containsInteger="1" minValue="5511" maxValue="39249"/>
    </cacheField>
    <cacheField name="General and administrative" numFmtId="165">
      <sharedItems containsSemiMixedTypes="0" containsString="0" containsNumber="1" containsInteger="1" minValue="7266" maxValue="48488"/>
    </cacheField>
    <cacheField name="Net income (loss) and comprehensive income (loss)" numFmtId="165">
      <sharedItems containsSemiMixedTypes="0" containsString="0" containsNumber="1" containsInteger="1" minValue="-28970" maxValue="292195"/>
    </cacheField>
    <cacheField name="Monthly active users (MAUs)" numFmtId="164">
      <sharedItems containsSemiMixedTypes="0" containsString="0" containsNumber="1" minValue="33.5" maxValue="137.80000000000001"/>
    </cacheField>
    <cacheField name="Daily active users (DAUs)" numFmtId="164">
      <sharedItems containsSemiMixedTypes="0" containsString="0" containsNumber="1" minValue="6.8" maxValue="56.5"/>
    </cacheField>
    <cacheField name="Paid subscribers (period end)" numFmtId="164">
      <sharedItems containsSemiMixedTypes="0" containsString="0" containsNumber="1" minValue="1.1000000000000001" maxValue="12.5"/>
    </cacheField>
    <cacheField name="Subscription bookings" numFmtId="165">
      <sharedItems containsSemiMixedTypes="0" containsString="0" containsNumber="1" containsInteger="1" minValue="30737" maxValue="296600"/>
    </cacheField>
    <cacheField name="Total bookings" numFmtId="165">
      <sharedItems containsSemiMixedTypes="0" containsString="0" containsNumber="1" containsInteger="1" minValue="36880" maxValue="336800"/>
    </cacheField>
    <cacheField name="Subscription" numFmtId="165">
      <sharedItems containsSemiMixedTypes="0" containsString="0" containsNumber="1" containsInteger="1" minValue="22171" maxValue="250908"/>
    </cacheField>
    <cacheField name="Advertising" numFmtId="165">
      <sharedItems containsSemiMixedTypes="0" containsString="0" containsNumber="1" containsInteger="1" minValue="5008" maxValue="21019"/>
    </cacheField>
    <cacheField name="Duolingo english test" numFmtId="165">
      <sharedItems containsSemiMixedTypes="0" containsString="0" containsNumber="1" containsInteger="1" minValue="753" maxValue="12755"/>
    </cacheField>
    <cacheField name="In-App purchases" numFmtId="165">
      <sharedItems containsString="0" containsBlank="1" containsNumber="1" containsInteger="1" minValue="5855" maxValue="11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2.831037384261" createdVersion="6" refreshedVersion="6" minRefreshableVersion="3" recordCount="125" xr:uid="{08D7F50C-60DD-42C4-8123-A881FEA77326}">
  <cacheSource type="worksheet">
    <worksheetSource name="Table1"/>
  </cacheSource>
  <cacheFields count="5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/>
    </cacheField>
    <cacheField name="Revenue Source" numFmtId="0">
      <sharedItems count="5">
        <s v="Subscription"/>
        <s v="Advertising"/>
        <s v="Duolingo english test"/>
        <s v="In-App purchases"/>
        <s v="Other"/>
      </sharedItems>
    </cacheField>
    <cacheField name="Amount" numFmtId="6">
      <sharedItems containsSemiMixedTypes="0" containsString="0" containsNumber="1" containsInteger="1" minValue="-4169" maxValue="2509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2.879578356478" createdVersion="6" refreshedVersion="6" minRefreshableVersion="3" recordCount="25" xr:uid="{BA4C0887-81C4-4A2E-8641-0017A4B937A0}">
  <cacheSource type="worksheet">
    <worksheetSource name="Table2"/>
  </cacheSource>
  <cacheFields count="6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MAU" numFmtId="0">
      <sharedItems containsSemiMixedTypes="0" containsString="0" containsNumber="1" minValue="33.5" maxValue="137.80000000000001"/>
    </cacheField>
    <cacheField name="Paid Subscribers" numFmtId="0">
      <sharedItems containsSemiMixedTypes="0" containsString="0" containsNumber="1" minValue="1.1000000000000001" maxValue="12.5"/>
    </cacheField>
    <cacheField name="Conversion Rate" numFmtId="10">
      <sharedItems containsSemiMixedTypes="0" containsString="0" containsNumber="1" minValue="3.2835820895522394E-2" maxValue="9.166040570999248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2.983330208335" createdVersion="6" refreshedVersion="6" minRefreshableVersion="3" recordCount="25" xr:uid="{384DB058-EC75-4283-97D2-21A655CE2A29}">
  <cacheSource type="worksheet">
    <worksheetSource name="Table4"/>
  </cacheSource>
  <cacheFields count="5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Total Revenue" numFmtId="165">
      <sharedItems containsSemiMixedTypes="0" containsString="0" containsNumber="1" containsInteger="1" minValue="28112" maxValue="291967"/>
    </cacheField>
    <cacheField name="Sales and Marketing" numFmtId="167">
      <sharedItems containsSemiMixedTypes="0" containsString="0" containsNumber="1" containsInteger="1" minValue="5511" maxValue="39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7.060228125003" createdVersion="6" refreshedVersion="6" minRefreshableVersion="3" recordCount="25" xr:uid="{3111DF69-E2A7-41BB-AA96-46D7821080A0}">
  <cacheSource type="worksheet">
    <worksheetSource name="Table29"/>
  </cacheSource>
  <cacheFields count="7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Sales and marketing" numFmtId="165">
      <sharedItems containsSemiMixedTypes="0" containsString="0" containsNumber="1" containsInteger="1" minValue="5511" maxValue="39249"/>
    </cacheField>
    <cacheField name="Paid Subscribers" numFmtId="0">
      <sharedItems containsSemiMixedTypes="0" containsString="0" containsNumber="1" minValue="1.1000000000000001" maxValue="12.5"/>
    </cacheField>
    <cacheField name="New Member" numFmtId="2">
      <sharedItems containsMixedTypes="1" containsNumber="1" minValue="9.9999999999999867E-2" maxValue="0.90000000000000036"/>
    </cacheField>
    <cacheField name="CAC" numFmtId="0">
      <sharedItems containsMixedTypes="1" containsNumber="1" minValue="23.897500000000008" maxValue="130.82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7.068252430552" createdVersion="6" refreshedVersion="6" minRefreshableVersion="3" recordCount="25" xr:uid="{008FC08F-D65F-482B-983B-E6732F4DF56E}">
  <cacheSource type="worksheet">
    <worksheetSource ref="A1:F26" sheet="ARPPU" r:id="rId2"/>
  </cacheSource>
  <cacheFields count="6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 count="7">
        <n v="2020"/>
        <n v="2021"/>
        <n v="2022"/>
        <n v="2023"/>
        <n v="2024"/>
        <n v="2025"/>
        <n v="2026"/>
      </sharedItems>
    </cacheField>
    <cacheField name="Subscription" numFmtId="165">
      <sharedItems containsSemiMixedTypes="0" containsString="0" containsNumber="1" containsInteger="1" minValue="22171" maxValue="250908"/>
    </cacheField>
    <cacheField name="Paid Subscribers" numFmtId="0">
      <sharedItems containsSemiMixedTypes="0" containsString="0" containsNumber="1" minValue="1.1000000000000001" maxValue="12.5"/>
    </cacheField>
    <cacheField name="ARPPU" numFmtId="44">
      <sharedItems containsSemiMixedTypes="0" containsString="0" containsNumber="1" minValue="20.155454545454546" maxValue="228.09818181818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0.948498148151" createdVersion="6" refreshedVersion="6" minRefreshableVersion="3" recordCount="25" xr:uid="{596C20AF-E306-45EF-BBA0-5CA3F374DA2D}">
  <cacheSource type="worksheet">
    <worksheetSource name="Table27"/>
  </cacheSource>
  <cacheFields count="7">
    <cacheField name="Description" numFmtId="0">
      <sharedItems count="25">
        <s v="Q1 20"/>
        <s v="Q2 20"/>
        <s v="Q3 20"/>
        <s v="Q4 20"/>
        <s v="Q1 21"/>
        <s v="Q2 21"/>
        <s v="Q3 21"/>
        <s v="Q4 21"/>
        <s v="Q1 22"/>
        <s v="Q2 22"/>
        <s v="Q3 22"/>
        <s v="Q4 22"/>
        <s v="Q1 23"/>
        <s v="Q2 23"/>
        <s v="Q3 23"/>
        <s v="Q4 23"/>
        <s v="Q1 24"/>
        <s v="Q2 24"/>
        <s v="Q3 24"/>
        <s v="Q4 24"/>
        <s v="Q1 25"/>
        <s v="Q2 25"/>
        <s v="Q3 25"/>
        <s v="Q4 25"/>
        <s v="Q1 26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6"/>
    </cacheField>
    <cacheField name="Subscriptions" numFmtId="165">
      <sharedItems containsSemiMixedTypes="0" containsString="0" containsNumber="1" containsInteger="1" minValue="22171" maxValue="250908" count="25">
        <n v="22171"/>
        <n v="28274"/>
        <n v="32317"/>
        <n v="34739"/>
        <n v="40055"/>
        <n v="43502"/>
        <n v="46030"/>
        <n v="51111"/>
        <n v="58010"/>
        <n v="65194"/>
        <n v="72172"/>
        <n v="78131"/>
        <n v="86185"/>
        <n v="95158"/>
        <n v="105887"/>
        <n v="117454"/>
        <n v="131688"/>
        <n v="143909"/>
        <n v="157617"/>
        <n v="174317"/>
        <n v="190987"/>
        <n v="210678"/>
        <n v="229491"/>
        <n v="242286"/>
        <n v="250908"/>
      </sharedItems>
    </cacheField>
    <cacheField name="MAU" numFmtId="0">
      <sharedItems containsSemiMixedTypes="0" containsString="0" containsNumber="1" minValue="33.5" maxValue="137.80000000000001"/>
    </cacheField>
    <cacheField name="Paid Subscribers" numFmtId="0">
      <sharedItems containsSemiMixedTypes="0" containsString="0" containsNumber="1" minValue="1.1000000000000001" maxValue="12.5" count="25">
        <n v="1.1000000000000001"/>
        <n v="1.3"/>
        <n v="1.5"/>
        <n v="1.6"/>
        <n v="1.8"/>
        <n v="1.9"/>
        <n v="2.2000000000000002"/>
        <n v="2.5"/>
        <n v="2.9"/>
        <n v="3.3"/>
        <n v="3.7"/>
        <n v="4.2"/>
        <n v="4.8"/>
        <n v="5.2"/>
        <n v="5.8"/>
        <n v="6.6"/>
        <n v="7.4"/>
        <n v="8"/>
        <n v="8.6"/>
        <n v="9.5"/>
        <n v="10.3"/>
        <n v="10.9"/>
        <n v="11.5"/>
        <n v="12.2"/>
        <n v="12.5"/>
      </sharedItems>
    </cacheField>
    <cacheField name="Conversion Rate" numFmtId="10">
      <sharedItems containsSemiMixedTypes="0" containsString="0" containsNumber="1" minValue="3.2835820895522394E-2" maxValue="9.166040570999248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28112"/>
    <n v="19898"/>
    <n v="9576"/>
    <n v="5511"/>
    <n v="7266"/>
    <n v="-2233"/>
    <n v="33.5"/>
    <n v="6.8"/>
    <n v="1.1000000000000001"/>
    <n v="30737"/>
    <n v="36880"/>
    <n v="22171"/>
    <n v="5008"/>
    <n v="753"/>
    <m/>
  </r>
  <r>
    <x v="1"/>
    <x v="1"/>
    <x v="0"/>
    <n v="40011"/>
    <n v="28202"/>
    <n v="12111"/>
    <n v="8625"/>
    <n v="7384"/>
    <n v="40"/>
    <n v="39.200000000000003"/>
    <n v="9"/>
    <n v="1.3"/>
    <n v="36581"/>
    <n v="49569"/>
    <n v="28274"/>
    <n v="6808"/>
    <n v="4598"/>
    <m/>
  </r>
  <r>
    <x v="2"/>
    <x v="2"/>
    <x v="0"/>
    <n v="45305"/>
    <n v="32204"/>
    <n v="15894"/>
    <n v="11142"/>
    <n v="8235"/>
    <n v="-3176"/>
    <n v="37"/>
    <n v="8.4"/>
    <n v="1.5"/>
    <n v="33778"/>
    <n v="46667"/>
    <n v="32317"/>
    <n v="6720"/>
    <n v="5607"/>
    <m/>
  </r>
  <r>
    <x v="3"/>
    <x v="3"/>
    <x v="0"/>
    <n v="48268"/>
    <n v="35405"/>
    <n v="15443"/>
    <n v="9705"/>
    <n v="20828"/>
    <n v="-10407"/>
    <n v="37"/>
    <n v="8.4"/>
    <n v="1.6"/>
    <n v="43284"/>
    <n v="57064"/>
    <n v="34739"/>
    <n v="8507"/>
    <n v="4197"/>
    <m/>
  </r>
  <r>
    <x v="4"/>
    <x v="0"/>
    <x v="1"/>
    <n v="55360"/>
    <n v="40341"/>
    <n v="22529"/>
    <n v="19773"/>
    <n v="11453"/>
    <n v="-13472"/>
    <n v="39.9"/>
    <n v="9.5"/>
    <n v="1.8"/>
    <n v="50466"/>
    <n v="65830"/>
    <n v="40055"/>
    <n v="9275"/>
    <n v="5035"/>
    <m/>
  </r>
  <r>
    <x v="5"/>
    <x v="1"/>
    <x v="1"/>
    <n v="58803"/>
    <n v="42666"/>
    <n v="21940"/>
    <n v="9619"/>
    <n v="11585"/>
    <n v="-176"/>
    <n v="37.9"/>
    <n v="9.1"/>
    <n v="1.9"/>
    <n v="48941"/>
    <n v="64538"/>
    <n v="43502"/>
    <n v="9056"/>
    <n v="4833"/>
    <m/>
  </r>
  <r>
    <x v="6"/>
    <x v="2"/>
    <x v="1"/>
    <n v="63595"/>
    <n v="45517"/>
    <n v="29345"/>
    <n v="15267"/>
    <n v="29605"/>
    <n v="-28970"/>
    <n v="41.7"/>
    <n v="9.8000000000000007"/>
    <n v="2.2000000000000002"/>
    <n v="55362"/>
    <n v="73058"/>
    <n v="46030"/>
    <n v="9029"/>
    <n v="6695"/>
    <m/>
  </r>
  <r>
    <x v="7"/>
    <x v="3"/>
    <x v="1"/>
    <n v="73014"/>
    <n v="53062"/>
    <n v="30019"/>
    <n v="14511"/>
    <n v="25947"/>
    <n v="-17517"/>
    <n v="42.4"/>
    <n v="10.1"/>
    <n v="2.5"/>
    <n v="69752"/>
    <n v="90821"/>
    <n v="51111"/>
    <n v="11141"/>
    <n v="8095"/>
    <n v="6836"/>
  </r>
  <r>
    <x v="8"/>
    <x v="0"/>
    <x v="2"/>
    <n v="81220"/>
    <n v="59730"/>
    <n v="29781"/>
    <n v="14940"/>
    <n v="26856"/>
    <n v="-12154"/>
    <n v="49.2"/>
    <n v="12.5"/>
    <n v="2.9"/>
    <n v="78539"/>
    <n v="102054"/>
    <n v="58010"/>
    <n v="11748"/>
    <n v="8080"/>
    <m/>
  </r>
  <r>
    <x v="9"/>
    <x v="1"/>
    <x v="2"/>
    <n v="88386"/>
    <n v="64517"/>
    <n v="34217"/>
    <n v="15277"/>
    <n v="30057"/>
    <n v="-15045"/>
    <n v="49.5"/>
    <n v="13.2"/>
    <n v="3.3"/>
    <n v="74123"/>
    <n v="97467"/>
    <n v="65194"/>
    <n v="11218"/>
    <n v="8036"/>
    <m/>
  </r>
  <r>
    <x v="10"/>
    <x v="2"/>
    <x v="2"/>
    <n v="96065"/>
    <n v="69763"/>
    <n v="41976"/>
    <n v="17721"/>
    <n v="30228"/>
    <n v="-18445"/>
    <n v="56.5"/>
    <n v="14.9"/>
    <n v="3.7"/>
    <n v="78858"/>
    <n v="102738"/>
    <n v="72172"/>
    <n v="10619"/>
    <n v="8192"/>
    <m/>
  </r>
  <r>
    <x v="11"/>
    <x v="3"/>
    <x v="2"/>
    <n v="103824"/>
    <n v="76054"/>
    <n v="44470"/>
    <n v="19029"/>
    <n v="30707"/>
    <n v="-13930"/>
    <n v="60.7"/>
    <n v="16.3"/>
    <n v="4.2"/>
    <n v="100283"/>
    <n v="126388"/>
    <n v="78131"/>
    <n v="11146"/>
    <n v="8410"/>
    <n v="5855"/>
  </r>
  <r>
    <x v="12"/>
    <x v="0"/>
    <x v="3"/>
    <n v="115661"/>
    <n v="84169"/>
    <n v="45844"/>
    <n v="16601"/>
    <n v="30243"/>
    <n v="-2582"/>
    <n v="72.599999999999994"/>
    <n v="20.3"/>
    <n v="4.8"/>
    <n v="110122"/>
    <n v="140054"/>
    <n v="86185"/>
    <n v="11635"/>
    <n v="9972"/>
    <n v="7852"/>
  </r>
  <r>
    <x v="13"/>
    <x v="1"/>
    <x v="3"/>
    <n v="126839"/>
    <n v="93051"/>
    <n v="47947"/>
    <n v="17734"/>
    <n v="32235"/>
    <n v="3725"/>
    <n v="74.099999999999994"/>
    <n v="21.4"/>
    <n v="5.2"/>
    <n v="106254"/>
    <n v="137539"/>
    <n v="95158"/>
    <n v="13061"/>
    <n v="9809"/>
    <n v="8675"/>
  </r>
  <r>
    <x v="14"/>
    <x v="2"/>
    <x v="3"/>
    <n v="137624"/>
    <n v="101370"/>
    <n v="50305"/>
    <n v="22335"/>
    <n v="33400"/>
    <n v="2807"/>
    <n v="83.1"/>
    <n v="24.2"/>
    <n v="5.8"/>
    <n v="121342"/>
    <n v="153556"/>
    <n v="105887"/>
    <n v="11678"/>
    <n v="10612"/>
    <n v="9233"/>
  </r>
  <r>
    <x v="15"/>
    <x v="3"/>
    <x v="3"/>
    <n v="150985"/>
    <n v="110414"/>
    <n v="50256"/>
    <n v="19118"/>
    <n v="36245"/>
    <n v="12117"/>
    <n v="88.4"/>
    <n v="26.9"/>
    <n v="6.6"/>
    <n v="157779"/>
    <n v="191032"/>
    <n v="117454"/>
    <n v="13484"/>
    <n v="10819"/>
    <n v="8913"/>
  </r>
  <r>
    <x v="16"/>
    <x v="0"/>
    <x v="4"/>
    <n v="167553"/>
    <n v="122362"/>
    <n v="50878"/>
    <n v="19931"/>
    <n v="35114"/>
    <n v="26956"/>
    <n v="97.6"/>
    <n v="31.4"/>
    <n v="7.4"/>
    <n v="161466"/>
    <n v="197452"/>
    <n v="131688"/>
    <n v="12952"/>
    <n v="12755"/>
    <n v="9924"/>
  </r>
  <r>
    <x v="17"/>
    <x v="1"/>
    <x v="4"/>
    <n v="178327"/>
    <n v="130978"/>
    <n v="55147"/>
    <n v="20174"/>
    <n v="36957"/>
    <n v="24351"/>
    <n v="103.6"/>
    <n v="34.1"/>
    <n v="8"/>
    <n v="156484"/>
    <n v="190092"/>
    <n v="143909"/>
    <n v="13258"/>
    <n v="10698"/>
    <n v="10176"/>
  </r>
  <r>
    <x v="18"/>
    <x v="2"/>
    <x v="4"/>
    <n v="192594"/>
    <n v="140414"/>
    <n v="62878"/>
    <n v="25574"/>
    <n v="38388"/>
    <n v="23360"/>
    <n v="113.1"/>
    <n v="37.200000000000003"/>
    <n v="8.6"/>
    <n v="176309"/>
    <n v="211456"/>
    <n v="157617"/>
    <n v="14405"/>
    <n v="10772"/>
    <n v="9411"/>
  </r>
  <r>
    <x v="19"/>
    <x v="3"/>
    <x v="4"/>
    <n v="209550"/>
    <n v="150625"/>
    <n v="66395"/>
    <n v="24815"/>
    <n v="45533"/>
    <n v="13907"/>
    <n v="116.7"/>
    <n v="40.5"/>
    <n v="9.5"/>
    <n v="236500"/>
    <n v="271600"/>
    <n v="174317"/>
    <n v="14292"/>
    <n v="11415"/>
    <n v="9142"/>
  </r>
  <r>
    <x v="20"/>
    <x v="0"/>
    <x v="5"/>
    <n v="230743"/>
    <n v="164096"/>
    <n v="70390"/>
    <n v="26662"/>
    <n v="43450"/>
    <n v="35135"/>
    <n v="130.19999999999999"/>
    <n v="46.6"/>
    <n v="10.3"/>
    <n v="232184"/>
    <n v="271648"/>
    <n v="190987"/>
    <n v="17882"/>
    <n v="11986"/>
    <n v="9442"/>
  </r>
  <r>
    <x v="21"/>
    <x v="1"/>
    <x v="5"/>
    <n v="252265"/>
    <n v="182581"/>
    <n v="73670"/>
    <n v="29563"/>
    <n v="45985"/>
    <n v="44781"/>
    <n v="128.30000000000001"/>
    <n v="47.7"/>
    <n v="10.9"/>
    <n v="227259"/>
    <n v="268020"/>
    <n v="210678"/>
    <n v="20603"/>
    <n v="10088"/>
    <n v="10390"/>
  </r>
  <r>
    <x v="22"/>
    <x v="2"/>
    <x v="5"/>
    <n v="271713"/>
    <n v="196911"/>
    <n v="82707"/>
    <n v="35081"/>
    <n v="43964"/>
    <n v="292195"/>
    <n v="135.30000000000001"/>
    <n v="50.5"/>
    <n v="11.5"/>
    <n v="240270"/>
    <n v="281919"/>
    <n v="229491"/>
    <n v="21019"/>
    <n v="9649"/>
    <n v="11096"/>
  </r>
  <r>
    <x v="23"/>
    <x v="3"/>
    <x v="5"/>
    <n v="282868"/>
    <n v="205869"/>
    <n v="79556"/>
    <n v="34371"/>
    <n v="48488"/>
    <n v="41954"/>
    <n v="133.1"/>
    <n v="52.7"/>
    <n v="12.2"/>
    <n v="296600"/>
    <n v="336800"/>
    <n v="242286"/>
    <n v="20221"/>
    <n v="10283"/>
    <n v="9551"/>
  </r>
  <r>
    <x v="24"/>
    <x v="0"/>
    <x v="6"/>
    <n v="291967"/>
    <n v="213096"/>
    <n v="82974"/>
    <n v="39249"/>
    <n v="46346"/>
    <n v="43460"/>
    <n v="137.80000000000001"/>
    <n v="56.5"/>
    <n v="12.5"/>
    <n v="268065"/>
    <n v="308484"/>
    <n v="250908"/>
    <n v="20614"/>
    <n v="11317"/>
    <n v="84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x v="0"/>
    <n v="2020"/>
    <x v="0"/>
    <n v="22171"/>
  </r>
  <r>
    <x v="1"/>
    <x v="1"/>
    <n v="2020"/>
    <x v="0"/>
    <n v="28274"/>
  </r>
  <r>
    <x v="2"/>
    <x v="2"/>
    <n v="2020"/>
    <x v="0"/>
    <n v="32317"/>
  </r>
  <r>
    <x v="3"/>
    <x v="3"/>
    <n v="2020"/>
    <x v="0"/>
    <n v="34739"/>
  </r>
  <r>
    <x v="4"/>
    <x v="0"/>
    <n v="2021"/>
    <x v="0"/>
    <n v="40055"/>
  </r>
  <r>
    <x v="5"/>
    <x v="1"/>
    <n v="2021"/>
    <x v="0"/>
    <n v="43502"/>
  </r>
  <r>
    <x v="6"/>
    <x v="2"/>
    <n v="2021"/>
    <x v="0"/>
    <n v="46030"/>
  </r>
  <r>
    <x v="7"/>
    <x v="3"/>
    <n v="2021"/>
    <x v="0"/>
    <n v="51111"/>
  </r>
  <r>
    <x v="8"/>
    <x v="0"/>
    <n v="2022"/>
    <x v="0"/>
    <n v="58010"/>
  </r>
  <r>
    <x v="9"/>
    <x v="1"/>
    <n v="2022"/>
    <x v="0"/>
    <n v="65194"/>
  </r>
  <r>
    <x v="10"/>
    <x v="2"/>
    <n v="2022"/>
    <x v="0"/>
    <n v="72172"/>
  </r>
  <r>
    <x v="11"/>
    <x v="3"/>
    <n v="2022"/>
    <x v="0"/>
    <n v="78131"/>
  </r>
  <r>
    <x v="12"/>
    <x v="0"/>
    <n v="2023"/>
    <x v="0"/>
    <n v="86185"/>
  </r>
  <r>
    <x v="13"/>
    <x v="1"/>
    <n v="2023"/>
    <x v="0"/>
    <n v="95158"/>
  </r>
  <r>
    <x v="14"/>
    <x v="2"/>
    <n v="2023"/>
    <x v="0"/>
    <n v="105887"/>
  </r>
  <r>
    <x v="15"/>
    <x v="3"/>
    <n v="2023"/>
    <x v="0"/>
    <n v="117454"/>
  </r>
  <r>
    <x v="16"/>
    <x v="0"/>
    <n v="2024"/>
    <x v="0"/>
    <n v="131688"/>
  </r>
  <r>
    <x v="17"/>
    <x v="1"/>
    <n v="2024"/>
    <x v="0"/>
    <n v="143909"/>
  </r>
  <r>
    <x v="18"/>
    <x v="2"/>
    <n v="2024"/>
    <x v="0"/>
    <n v="157617"/>
  </r>
  <r>
    <x v="19"/>
    <x v="3"/>
    <n v="2024"/>
    <x v="0"/>
    <n v="174317"/>
  </r>
  <r>
    <x v="20"/>
    <x v="0"/>
    <n v="2025"/>
    <x v="0"/>
    <n v="190987"/>
  </r>
  <r>
    <x v="21"/>
    <x v="1"/>
    <n v="2025"/>
    <x v="0"/>
    <n v="210678"/>
  </r>
  <r>
    <x v="22"/>
    <x v="2"/>
    <n v="2025"/>
    <x v="0"/>
    <n v="229431"/>
  </r>
  <r>
    <x v="23"/>
    <x v="3"/>
    <n v="2025"/>
    <x v="0"/>
    <n v="242286"/>
  </r>
  <r>
    <x v="24"/>
    <x v="0"/>
    <n v="2026"/>
    <x v="0"/>
    <n v="250908"/>
  </r>
  <r>
    <x v="0"/>
    <x v="0"/>
    <n v="2020"/>
    <x v="1"/>
    <n v="5008"/>
  </r>
  <r>
    <x v="1"/>
    <x v="1"/>
    <n v="2020"/>
    <x v="1"/>
    <n v="6808"/>
  </r>
  <r>
    <x v="2"/>
    <x v="2"/>
    <n v="2020"/>
    <x v="1"/>
    <n v="6720"/>
  </r>
  <r>
    <x v="3"/>
    <x v="3"/>
    <n v="2020"/>
    <x v="1"/>
    <n v="8507"/>
  </r>
  <r>
    <x v="4"/>
    <x v="0"/>
    <n v="2021"/>
    <x v="1"/>
    <n v="9275"/>
  </r>
  <r>
    <x v="5"/>
    <x v="1"/>
    <n v="2021"/>
    <x v="1"/>
    <n v="9056"/>
  </r>
  <r>
    <x v="6"/>
    <x v="2"/>
    <n v="2021"/>
    <x v="1"/>
    <n v="9029"/>
  </r>
  <r>
    <x v="7"/>
    <x v="3"/>
    <n v="2021"/>
    <x v="1"/>
    <n v="11141"/>
  </r>
  <r>
    <x v="8"/>
    <x v="0"/>
    <n v="2022"/>
    <x v="1"/>
    <n v="11748"/>
  </r>
  <r>
    <x v="9"/>
    <x v="1"/>
    <n v="2022"/>
    <x v="1"/>
    <n v="11218"/>
  </r>
  <r>
    <x v="10"/>
    <x v="2"/>
    <n v="2022"/>
    <x v="1"/>
    <n v="10619"/>
  </r>
  <r>
    <x v="11"/>
    <x v="3"/>
    <n v="2022"/>
    <x v="1"/>
    <n v="11146"/>
  </r>
  <r>
    <x v="12"/>
    <x v="0"/>
    <n v="2023"/>
    <x v="1"/>
    <n v="11635"/>
  </r>
  <r>
    <x v="13"/>
    <x v="1"/>
    <n v="2023"/>
    <x v="1"/>
    <n v="13061"/>
  </r>
  <r>
    <x v="14"/>
    <x v="2"/>
    <n v="2023"/>
    <x v="1"/>
    <n v="11678"/>
  </r>
  <r>
    <x v="15"/>
    <x v="3"/>
    <n v="2023"/>
    <x v="1"/>
    <n v="13484"/>
  </r>
  <r>
    <x v="16"/>
    <x v="0"/>
    <n v="2024"/>
    <x v="1"/>
    <n v="12952"/>
  </r>
  <r>
    <x v="17"/>
    <x v="1"/>
    <n v="2024"/>
    <x v="1"/>
    <n v="13258"/>
  </r>
  <r>
    <x v="18"/>
    <x v="2"/>
    <n v="2024"/>
    <x v="1"/>
    <n v="14405"/>
  </r>
  <r>
    <x v="19"/>
    <x v="3"/>
    <n v="2024"/>
    <x v="1"/>
    <n v="14292"/>
  </r>
  <r>
    <x v="20"/>
    <x v="0"/>
    <n v="2025"/>
    <x v="1"/>
    <n v="17882"/>
  </r>
  <r>
    <x v="21"/>
    <x v="1"/>
    <n v="2025"/>
    <x v="1"/>
    <n v="20603"/>
  </r>
  <r>
    <x v="22"/>
    <x v="2"/>
    <n v="2025"/>
    <x v="1"/>
    <n v="21019"/>
  </r>
  <r>
    <x v="23"/>
    <x v="3"/>
    <n v="2025"/>
    <x v="1"/>
    <n v="20221"/>
  </r>
  <r>
    <x v="24"/>
    <x v="0"/>
    <n v="2026"/>
    <x v="1"/>
    <n v="20614"/>
  </r>
  <r>
    <x v="0"/>
    <x v="0"/>
    <n v="2020"/>
    <x v="2"/>
    <n v="753"/>
  </r>
  <r>
    <x v="1"/>
    <x v="1"/>
    <n v="2020"/>
    <x v="2"/>
    <n v="4598"/>
  </r>
  <r>
    <x v="2"/>
    <x v="2"/>
    <n v="2020"/>
    <x v="2"/>
    <n v="5607"/>
  </r>
  <r>
    <x v="3"/>
    <x v="3"/>
    <n v="2020"/>
    <x v="2"/>
    <n v="4197"/>
  </r>
  <r>
    <x v="4"/>
    <x v="0"/>
    <n v="2021"/>
    <x v="2"/>
    <n v="5035"/>
  </r>
  <r>
    <x v="5"/>
    <x v="1"/>
    <n v="2021"/>
    <x v="2"/>
    <n v="4833"/>
  </r>
  <r>
    <x v="6"/>
    <x v="2"/>
    <n v="2021"/>
    <x v="2"/>
    <n v="6695"/>
  </r>
  <r>
    <x v="7"/>
    <x v="3"/>
    <n v="2021"/>
    <x v="2"/>
    <n v="8095"/>
  </r>
  <r>
    <x v="8"/>
    <x v="0"/>
    <n v="2022"/>
    <x v="2"/>
    <n v="8080"/>
  </r>
  <r>
    <x v="9"/>
    <x v="1"/>
    <n v="2022"/>
    <x v="2"/>
    <n v="8036"/>
  </r>
  <r>
    <x v="10"/>
    <x v="2"/>
    <n v="2022"/>
    <x v="2"/>
    <n v="8192"/>
  </r>
  <r>
    <x v="11"/>
    <x v="3"/>
    <n v="2022"/>
    <x v="2"/>
    <n v="8410"/>
  </r>
  <r>
    <x v="12"/>
    <x v="0"/>
    <n v="2023"/>
    <x v="2"/>
    <n v="9397"/>
  </r>
  <r>
    <x v="13"/>
    <x v="1"/>
    <n v="2023"/>
    <x v="2"/>
    <n v="9809"/>
  </r>
  <r>
    <x v="14"/>
    <x v="2"/>
    <n v="2023"/>
    <x v="2"/>
    <n v="10612"/>
  </r>
  <r>
    <x v="15"/>
    <x v="3"/>
    <n v="2023"/>
    <x v="2"/>
    <n v="10819"/>
  </r>
  <r>
    <x v="16"/>
    <x v="0"/>
    <n v="2024"/>
    <x v="2"/>
    <n v="12755"/>
  </r>
  <r>
    <x v="17"/>
    <x v="1"/>
    <n v="2024"/>
    <x v="2"/>
    <n v="10698"/>
  </r>
  <r>
    <x v="18"/>
    <x v="2"/>
    <n v="2024"/>
    <x v="2"/>
    <n v="10772"/>
  </r>
  <r>
    <x v="19"/>
    <x v="3"/>
    <n v="2024"/>
    <x v="2"/>
    <n v="11415"/>
  </r>
  <r>
    <x v="20"/>
    <x v="0"/>
    <n v="2025"/>
    <x v="2"/>
    <n v="11986"/>
  </r>
  <r>
    <x v="21"/>
    <x v="1"/>
    <n v="2025"/>
    <x v="2"/>
    <n v="10088"/>
  </r>
  <r>
    <x v="22"/>
    <x v="2"/>
    <n v="2025"/>
    <x v="2"/>
    <n v="9649"/>
  </r>
  <r>
    <x v="23"/>
    <x v="3"/>
    <n v="2025"/>
    <x v="2"/>
    <n v="10283"/>
  </r>
  <r>
    <x v="24"/>
    <x v="0"/>
    <n v="2026"/>
    <x v="2"/>
    <n v="11317"/>
  </r>
  <r>
    <x v="0"/>
    <x v="0"/>
    <n v="2020"/>
    <x v="3"/>
    <n v="0"/>
  </r>
  <r>
    <x v="1"/>
    <x v="1"/>
    <n v="2020"/>
    <x v="3"/>
    <n v="0"/>
  </r>
  <r>
    <x v="2"/>
    <x v="2"/>
    <n v="2020"/>
    <x v="3"/>
    <n v="0"/>
  </r>
  <r>
    <x v="3"/>
    <x v="3"/>
    <n v="2020"/>
    <x v="3"/>
    <n v="0"/>
  </r>
  <r>
    <x v="4"/>
    <x v="0"/>
    <n v="2021"/>
    <x v="3"/>
    <n v="0"/>
  </r>
  <r>
    <x v="5"/>
    <x v="1"/>
    <n v="2021"/>
    <x v="3"/>
    <n v="0"/>
  </r>
  <r>
    <x v="6"/>
    <x v="2"/>
    <n v="2021"/>
    <x v="3"/>
    <n v="0"/>
  </r>
  <r>
    <x v="7"/>
    <x v="3"/>
    <n v="2021"/>
    <x v="3"/>
    <n v="6836"/>
  </r>
  <r>
    <x v="8"/>
    <x v="0"/>
    <n v="2022"/>
    <x v="3"/>
    <n v="0"/>
  </r>
  <r>
    <x v="9"/>
    <x v="1"/>
    <n v="2022"/>
    <x v="3"/>
    <n v="0"/>
  </r>
  <r>
    <x v="10"/>
    <x v="2"/>
    <n v="2022"/>
    <x v="3"/>
    <n v="0"/>
  </r>
  <r>
    <x v="11"/>
    <x v="3"/>
    <n v="2022"/>
    <x v="3"/>
    <n v="5855"/>
  </r>
  <r>
    <x v="12"/>
    <x v="0"/>
    <n v="2023"/>
    <x v="3"/>
    <n v="7852"/>
  </r>
  <r>
    <x v="13"/>
    <x v="1"/>
    <n v="2023"/>
    <x v="3"/>
    <n v="8675"/>
  </r>
  <r>
    <x v="14"/>
    <x v="2"/>
    <n v="2023"/>
    <x v="3"/>
    <n v="9233"/>
  </r>
  <r>
    <x v="15"/>
    <x v="3"/>
    <n v="2023"/>
    <x v="3"/>
    <n v="8913"/>
  </r>
  <r>
    <x v="16"/>
    <x v="0"/>
    <n v="2024"/>
    <x v="3"/>
    <n v="9924"/>
  </r>
  <r>
    <x v="17"/>
    <x v="1"/>
    <n v="2024"/>
    <x v="3"/>
    <n v="10176"/>
  </r>
  <r>
    <x v="18"/>
    <x v="2"/>
    <n v="2024"/>
    <x v="3"/>
    <n v="9411"/>
  </r>
  <r>
    <x v="19"/>
    <x v="3"/>
    <n v="2024"/>
    <x v="3"/>
    <n v="9142"/>
  </r>
  <r>
    <x v="20"/>
    <x v="0"/>
    <n v="2025"/>
    <x v="3"/>
    <n v="9442"/>
  </r>
  <r>
    <x v="21"/>
    <x v="1"/>
    <n v="2025"/>
    <x v="3"/>
    <n v="10390"/>
  </r>
  <r>
    <x v="22"/>
    <x v="2"/>
    <n v="2025"/>
    <x v="3"/>
    <n v="11096"/>
  </r>
  <r>
    <x v="23"/>
    <x v="3"/>
    <n v="2025"/>
    <x v="3"/>
    <n v="9551"/>
  </r>
  <r>
    <x v="24"/>
    <x v="0"/>
    <n v="2026"/>
    <x v="3"/>
    <n v="8446"/>
  </r>
  <r>
    <x v="0"/>
    <x v="0"/>
    <n v="2020"/>
    <x v="4"/>
    <n v="180"/>
  </r>
  <r>
    <x v="1"/>
    <x v="1"/>
    <n v="2020"/>
    <x v="4"/>
    <n v="331"/>
  </r>
  <r>
    <x v="2"/>
    <x v="2"/>
    <n v="2020"/>
    <x v="4"/>
    <n v="661"/>
  </r>
  <r>
    <x v="3"/>
    <x v="3"/>
    <n v="2020"/>
    <x v="4"/>
    <n v="825"/>
  </r>
  <r>
    <x v="4"/>
    <x v="0"/>
    <n v="2021"/>
    <x v="4"/>
    <n v="995"/>
  </r>
  <r>
    <x v="5"/>
    <x v="1"/>
    <n v="2021"/>
    <x v="4"/>
    <n v="1412"/>
  </r>
  <r>
    <x v="6"/>
    <x v="2"/>
    <n v="2021"/>
    <x v="4"/>
    <n v="1841"/>
  </r>
  <r>
    <x v="7"/>
    <x v="3"/>
    <n v="2021"/>
    <x v="4"/>
    <n v="-4169"/>
  </r>
  <r>
    <x v="8"/>
    <x v="0"/>
    <n v="2022"/>
    <x v="4"/>
    <n v="3382"/>
  </r>
  <r>
    <x v="9"/>
    <x v="1"/>
    <n v="2022"/>
    <x v="4"/>
    <n v="3938"/>
  </r>
  <r>
    <x v="10"/>
    <x v="2"/>
    <n v="2022"/>
    <x v="4"/>
    <n v="5082"/>
  </r>
  <r>
    <x v="11"/>
    <x v="3"/>
    <n v="2022"/>
    <x v="4"/>
    <n v="282"/>
  </r>
  <r>
    <x v="12"/>
    <x v="0"/>
    <n v="2023"/>
    <x v="4"/>
    <n v="17"/>
  </r>
  <r>
    <x v="13"/>
    <x v="1"/>
    <n v="2023"/>
    <x v="4"/>
    <n v="136"/>
  </r>
  <r>
    <x v="14"/>
    <x v="2"/>
    <n v="2023"/>
    <x v="4"/>
    <n v="214"/>
  </r>
  <r>
    <x v="15"/>
    <x v="3"/>
    <n v="2023"/>
    <x v="4"/>
    <n v="315"/>
  </r>
  <r>
    <x v="16"/>
    <x v="0"/>
    <n v="2024"/>
    <x v="4"/>
    <n v="234"/>
  </r>
  <r>
    <x v="17"/>
    <x v="1"/>
    <n v="2024"/>
    <x v="4"/>
    <n v="286"/>
  </r>
  <r>
    <x v="18"/>
    <x v="2"/>
    <n v="2024"/>
    <x v="4"/>
    <n v="389"/>
  </r>
  <r>
    <x v="19"/>
    <x v="3"/>
    <n v="2024"/>
    <x v="4"/>
    <n v="384"/>
  </r>
  <r>
    <x v="20"/>
    <x v="0"/>
    <n v="2025"/>
    <x v="4"/>
    <n v="446"/>
  </r>
  <r>
    <x v="21"/>
    <x v="1"/>
    <n v="2025"/>
    <x v="4"/>
    <n v="506"/>
  </r>
  <r>
    <x v="22"/>
    <x v="2"/>
    <n v="2025"/>
    <x v="4"/>
    <n v="458"/>
  </r>
  <r>
    <x v="23"/>
    <x v="3"/>
    <n v="2025"/>
    <x v="4"/>
    <n v="527"/>
  </r>
  <r>
    <x v="24"/>
    <x v="0"/>
    <n v="2026"/>
    <x v="4"/>
    <n v="6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33.5"/>
    <n v="1.1000000000000001"/>
    <n v="3.2835820895522394E-2"/>
  </r>
  <r>
    <x v="1"/>
    <x v="1"/>
    <x v="0"/>
    <n v="39.200000000000003"/>
    <n v="1.3"/>
    <n v="3.3163265306122451E-2"/>
  </r>
  <r>
    <x v="2"/>
    <x v="2"/>
    <x v="0"/>
    <n v="37"/>
    <n v="1.5"/>
    <n v="4.0540540540540543E-2"/>
  </r>
  <r>
    <x v="3"/>
    <x v="3"/>
    <x v="0"/>
    <n v="37"/>
    <n v="1.6"/>
    <n v="4.3243243243243246E-2"/>
  </r>
  <r>
    <x v="4"/>
    <x v="0"/>
    <x v="1"/>
    <n v="39.9"/>
    <n v="1.8"/>
    <n v="4.5112781954887222E-2"/>
  </r>
  <r>
    <x v="5"/>
    <x v="1"/>
    <x v="1"/>
    <n v="37.9"/>
    <n v="1.9"/>
    <n v="5.0131926121372031E-2"/>
  </r>
  <r>
    <x v="6"/>
    <x v="2"/>
    <x v="1"/>
    <n v="41.7"/>
    <n v="2.2000000000000002"/>
    <n v="5.2757793764988008E-2"/>
  </r>
  <r>
    <x v="7"/>
    <x v="3"/>
    <x v="1"/>
    <n v="42.4"/>
    <n v="2.5"/>
    <n v="5.8962264150943397E-2"/>
  </r>
  <r>
    <x v="8"/>
    <x v="0"/>
    <x v="2"/>
    <n v="49.2"/>
    <n v="2.9"/>
    <n v="5.8943089430894303E-2"/>
  </r>
  <r>
    <x v="9"/>
    <x v="1"/>
    <x v="2"/>
    <n v="49.5"/>
    <n v="3.3"/>
    <n v="6.6666666666666666E-2"/>
  </r>
  <r>
    <x v="10"/>
    <x v="2"/>
    <x v="2"/>
    <n v="56.5"/>
    <n v="3.7"/>
    <n v="6.5486725663716813E-2"/>
  </r>
  <r>
    <x v="11"/>
    <x v="3"/>
    <x v="2"/>
    <n v="60.7"/>
    <n v="4.2"/>
    <n v="6.919275123558484E-2"/>
  </r>
  <r>
    <x v="12"/>
    <x v="0"/>
    <x v="3"/>
    <n v="72.599999999999994"/>
    <n v="4.8"/>
    <n v="6.6115702479338845E-2"/>
  </r>
  <r>
    <x v="13"/>
    <x v="1"/>
    <x v="3"/>
    <n v="74.099999999999994"/>
    <n v="5.2"/>
    <n v="7.0175438596491238E-2"/>
  </r>
  <r>
    <x v="14"/>
    <x v="2"/>
    <x v="3"/>
    <n v="83.1"/>
    <n v="5.8"/>
    <n v="6.9795427196149215E-2"/>
  </r>
  <r>
    <x v="15"/>
    <x v="3"/>
    <x v="3"/>
    <n v="88.4"/>
    <n v="6.6"/>
    <n v="7.466063348416288E-2"/>
  </r>
  <r>
    <x v="16"/>
    <x v="0"/>
    <x v="4"/>
    <n v="97.6"/>
    <n v="7.4"/>
    <n v="7.5819672131147556E-2"/>
  </r>
  <r>
    <x v="17"/>
    <x v="1"/>
    <x v="4"/>
    <n v="103.6"/>
    <n v="8"/>
    <n v="7.7220077220077218E-2"/>
  </r>
  <r>
    <x v="18"/>
    <x v="2"/>
    <x v="4"/>
    <n v="113.1"/>
    <n v="8.6"/>
    <n v="7.6038903625110524E-2"/>
  </r>
  <r>
    <x v="19"/>
    <x v="3"/>
    <x v="4"/>
    <n v="116.7"/>
    <n v="9.5"/>
    <n v="8.1405312767780638E-2"/>
  </r>
  <r>
    <x v="20"/>
    <x v="0"/>
    <x v="5"/>
    <n v="130.19999999999999"/>
    <n v="10.3"/>
    <n v="7.9109062980030731E-2"/>
  </r>
  <r>
    <x v="21"/>
    <x v="1"/>
    <x v="5"/>
    <n v="128.30000000000001"/>
    <n v="10.9"/>
    <n v="8.4957131722525323E-2"/>
  </r>
  <r>
    <x v="22"/>
    <x v="2"/>
    <x v="5"/>
    <n v="135.30000000000001"/>
    <n v="11.5"/>
    <n v="8.4996304508499626E-2"/>
  </r>
  <r>
    <x v="23"/>
    <x v="3"/>
    <x v="5"/>
    <n v="133.1"/>
    <n v="12.2"/>
    <n v="9.1660405709992482E-2"/>
  </r>
  <r>
    <x v="24"/>
    <x v="0"/>
    <x v="6"/>
    <n v="137.80000000000001"/>
    <n v="12.5"/>
    <n v="9.071117561683599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28112"/>
    <n v="5511"/>
  </r>
  <r>
    <x v="1"/>
    <x v="1"/>
    <x v="0"/>
    <n v="40011"/>
    <n v="8625"/>
  </r>
  <r>
    <x v="2"/>
    <x v="2"/>
    <x v="0"/>
    <n v="45305"/>
    <n v="11142"/>
  </r>
  <r>
    <x v="3"/>
    <x v="3"/>
    <x v="0"/>
    <n v="48268"/>
    <n v="9705"/>
  </r>
  <r>
    <x v="4"/>
    <x v="0"/>
    <x v="1"/>
    <n v="55360"/>
    <n v="19773"/>
  </r>
  <r>
    <x v="5"/>
    <x v="1"/>
    <x v="1"/>
    <n v="58803"/>
    <n v="9619"/>
  </r>
  <r>
    <x v="6"/>
    <x v="2"/>
    <x v="1"/>
    <n v="63595"/>
    <n v="15267"/>
  </r>
  <r>
    <x v="7"/>
    <x v="3"/>
    <x v="1"/>
    <n v="73014"/>
    <n v="14511"/>
  </r>
  <r>
    <x v="8"/>
    <x v="0"/>
    <x v="2"/>
    <n v="81220"/>
    <n v="14940"/>
  </r>
  <r>
    <x v="9"/>
    <x v="1"/>
    <x v="2"/>
    <n v="88386"/>
    <n v="15277"/>
  </r>
  <r>
    <x v="10"/>
    <x v="2"/>
    <x v="2"/>
    <n v="96065"/>
    <n v="17721"/>
  </r>
  <r>
    <x v="11"/>
    <x v="3"/>
    <x v="2"/>
    <n v="103824"/>
    <n v="19029"/>
  </r>
  <r>
    <x v="12"/>
    <x v="0"/>
    <x v="3"/>
    <n v="115661"/>
    <n v="16601"/>
  </r>
  <r>
    <x v="13"/>
    <x v="1"/>
    <x v="3"/>
    <n v="126839"/>
    <n v="17734"/>
  </r>
  <r>
    <x v="14"/>
    <x v="2"/>
    <x v="3"/>
    <n v="137624"/>
    <n v="22335"/>
  </r>
  <r>
    <x v="15"/>
    <x v="3"/>
    <x v="3"/>
    <n v="150985"/>
    <n v="19118"/>
  </r>
  <r>
    <x v="16"/>
    <x v="0"/>
    <x v="4"/>
    <n v="167553"/>
    <n v="19931"/>
  </r>
  <r>
    <x v="17"/>
    <x v="1"/>
    <x v="4"/>
    <n v="178327"/>
    <n v="20174"/>
  </r>
  <r>
    <x v="18"/>
    <x v="2"/>
    <x v="4"/>
    <n v="192594"/>
    <n v="25574"/>
  </r>
  <r>
    <x v="19"/>
    <x v="3"/>
    <x v="4"/>
    <n v="209550"/>
    <n v="24815"/>
  </r>
  <r>
    <x v="20"/>
    <x v="0"/>
    <x v="5"/>
    <n v="230743"/>
    <n v="26662"/>
  </r>
  <r>
    <x v="21"/>
    <x v="1"/>
    <x v="5"/>
    <n v="252265"/>
    <n v="29563"/>
  </r>
  <r>
    <x v="22"/>
    <x v="2"/>
    <x v="5"/>
    <n v="271713"/>
    <n v="35081"/>
  </r>
  <r>
    <x v="23"/>
    <x v="3"/>
    <x v="5"/>
    <n v="282868"/>
    <n v="34371"/>
  </r>
  <r>
    <x v="24"/>
    <x v="0"/>
    <x v="6"/>
    <n v="291967"/>
    <n v="3924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5511"/>
    <n v="1.1000000000000001"/>
    <s v="-"/>
    <e v="#VALUE!"/>
  </r>
  <r>
    <x v="1"/>
    <x v="1"/>
    <x v="0"/>
    <n v="8625"/>
    <n v="1.3"/>
    <n v="0.19999999999999996"/>
    <n v="43.125000000000014"/>
  </r>
  <r>
    <x v="2"/>
    <x v="2"/>
    <x v="0"/>
    <n v="11142"/>
    <n v="1.5"/>
    <n v="0.19999999999999996"/>
    <n v="55.710000000000015"/>
  </r>
  <r>
    <x v="3"/>
    <x v="3"/>
    <x v="0"/>
    <n v="9705"/>
    <n v="1.6"/>
    <n v="0.10000000000000009"/>
    <n v="97.049999999999912"/>
  </r>
  <r>
    <x v="4"/>
    <x v="0"/>
    <x v="1"/>
    <n v="19773"/>
    <n v="1.8"/>
    <n v="0.19999999999999996"/>
    <n v="98.865000000000023"/>
  </r>
  <r>
    <x v="5"/>
    <x v="1"/>
    <x v="1"/>
    <n v="9619"/>
    <n v="1.9"/>
    <n v="9.9999999999999867E-2"/>
    <n v="96.190000000000126"/>
  </r>
  <r>
    <x v="6"/>
    <x v="2"/>
    <x v="1"/>
    <n v="15267"/>
    <n v="2.2000000000000002"/>
    <n v="0.30000000000000027"/>
    <n v="50.889999999999951"/>
  </r>
  <r>
    <x v="7"/>
    <x v="3"/>
    <x v="1"/>
    <n v="14511"/>
    <n v="2.5"/>
    <n v="0.29999999999999982"/>
    <n v="48.370000000000026"/>
  </r>
  <r>
    <x v="8"/>
    <x v="0"/>
    <x v="2"/>
    <n v="14940"/>
    <n v="2.9"/>
    <n v="0.39999999999999991"/>
    <n v="37.350000000000009"/>
  </r>
  <r>
    <x v="9"/>
    <x v="1"/>
    <x v="2"/>
    <n v="15277"/>
    <n v="3.3"/>
    <n v="0.39999999999999991"/>
    <n v="38.19250000000001"/>
  </r>
  <r>
    <x v="10"/>
    <x v="2"/>
    <x v="2"/>
    <n v="17721"/>
    <n v="3.7"/>
    <n v="0.40000000000000036"/>
    <n v="44.302499999999959"/>
  </r>
  <r>
    <x v="11"/>
    <x v="3"/>
    <x v="2"/>
    <n v="19029"/>
    <n v="4.2"/>
    <n v="0.5"/>
    <n v="38.058"/>
  </r>
  <r>
    <x v="12"/>
    <x v="0"/>
    <x v="3"/>
    <n v="16601"/>
    <n v="4.8"/>
    <n v="0.59999999999999964"/>
    <n v="27.668333333333351"/>
  </r>
  <r>
    <x v="13"/>
    <x v="1"/>
    <x v="3"/>
    <n v="17734"/>
    <n v="5.2"/>
    <n v="0.40000000000000036"/>
    <n v="44.334999999999958"/>
  </r>
  <r>
    <x v="14"/>
    <x v="2"/>
    <x v="3"/>
    <n v="22335"/>
    <n v="5.8"/>
    <n v="0.59999999999999964"/>
    <n v="37.225000000000023"/>
  </r>
  <r>
    <x v="15"/>
    <x v="3"/>
    <x v="3"/>
    <n v="19118"/>
    <n v="6.6"/>
    <n v="0.79999999999999982"/>
    <n v="23.897500000000008"/>
  </r>
  <r>
    <x v="16"/>
    <x v="0"/>
    <x v="4"/>
    <n v="19931"/>
    <n v="7.4"/>
    <n v="0.80000000000000071"/>
    <n v="24.913749999999979"/>
  </r>
  <r>
    <x v="17"/>
    <x v="1"/>
    <x v="4"/>
    <n v="20174"/>
    <n v="8"/>
    <n v="0.59999999999999964"/>
    <n v="33.623333333333356"/>
  </r>
  <r>
    <x v="18"/>
    <x v="2"/>
    <x v="4"/>
    <n v="25574"/>
    <n v="8.6"/>
    <n v="0.59999999999999964"/>
    <n v="42.623333333333356"/>
  </r>
  <r>
    <x v="19"/>
    <x v="3"/>
    <x v="4"/>
    <n v="24815"/>
    <n v="9.5"/>
    <n v="0.90000000000000036"/>
    <n v="27.572222222222212"/>
  </r>
  <r>
    <x v="20"/>
    <x v="0"/>
    <x v="5"/>
    <n v="26662"/>
    <n v="10.3"/>
    <n v="0.80000000000000071"/>
    <n v="33.327499999999972"/>
  </r>
  <r>
    <x v="21"/>
    <x v="1"/>
    <x v="5"/>
    <n v="29563"/>
    <n v="10.9"/>
    <n v="0.59999999999999964"/>
    <n v="49.271666666666697"/>
  </r>
  <r>
    <x v="22"/>
    <x v="2"/>
    <x v="5"/>
    <n v="35081"/>
    <n v="11.5"/>
    <n v="0.59999999999999964"/>
    <n v="58.468333333333369"/>
  </r>
  <r>
    <x v="23"/>
    <x v="3"/>
    <x v="5"/>
    <n v="34371"/>
    <n v="12.2"/>
    <n v="0.69999999999999929"/>
    <n v="49.10142857142862"/>
  </r>
  <r>
    <x v="24"/>
    <x v="0"/>
    <x v="6"/>
    <n v="39249"/>
    <n v="12.5"/>
    <n v="0.30000000000000071"/>
    <n v="130.829999999999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22171"/>
    <n v="1.1000000000000001"/>
    <n v="20.155454545454546"/>
  </r>
  <r>
    <x v="1"/>
    <x v="1"/>
    <x v="0"/>
    <n v="28274"/>
    <n v="1.3"/>
    <n v="25.703636363636363"/>
  </r>
  <r>
    <x v="2"/>
    <x v="2"/>
    <x v="0"/>
    <n v="32317"/>
    <n v="1.5"/>
    <n v="29.379090909090909"/>
  </r>
  <r>
    <x v="3"/>
    <x v="3"/>
    <x v="0"/>
    <n v="34739"/>
    <n v="1.6"/>
    <n v="31.580909090909092"/>
  </r>
  <r>
    <x v="4"/>
    <x v="0"/>
    <x v="1"/>
    <n v="40055"/>
    <n v="1.8"/>
    <n v="36.413636363636364"/>
  </r>
  <r>
    <x v="5"/>
    <x v="1"/>
    <x v="1"/>
    <n v="43502"/>
    <n v="1.9"/>
    <n v="39.547272727272727"/>
  </r>
  <r>
    <x v="6"/>
    <x v="2"/>
    <x v="1"/>
    <n v="46030"/>
    <n v="2.2000000000000002"/>
    <n v="41.845454545454544"/>
  </r>
  <r>
    <x v="7"/>
    <x v="3"/>
    <x v="1"/>
    <n v="51111"/>
    <n v="2.5"/>
    <n v="46.464545454545451"/>
  </r>
  <r>
    <x v="8"/>
    <x v="0"/>
    <x v="2"/>
    <n v="58010"/>
    <n v="2.9"/>
    <n v="52.736363636363635"/>
  </r>
  <r>
    <x v="9"/>
    <x v="1"/>
    <x v="2"/>
    <n v="65194"/>
    <n v="3.3"/>
    <n v="59.267272727272726"/>
  </r>
  <r>
    <x v="10"/>
    <x v="2"/>
    <x v="2"/>
    <n v="72172"/>
    <n v="3.7"/>
    <n v="65.61090909090909"/>
  </r>
  <r>
    <x v="11"/>
    <x v="3"/>
    <x v="2"/>
    <n v="78131"/>
    <n v="4.2"/>
    <n v="71.028181818181821"/>
  </r>
  <r>
    <x v="12"/>
    <x v="0"/>
    <x v="3"/>
    <n v="86185"/>
    <n v="4.8"/>
    <n v="78.349999999999994"/>
  </r>
  <r>
    <x v="13"/>
    <x v="1"/>
    <x v="3"/>
    <n v="95158"/>
    <n v="5.2"/>
    <n v="86.507272727272721"/>
  </r>
  <r>
    <x v="14"/>
    <x v="2"/>
    <x v="3"/>
    <n v="105887"/>
    <n v="5.8"/>
    <n v="96.260909090909095"/>
  </r>
  <r>
    <x v="15"/>
    <x v="3"/>
    <x v="3"/>
    <n v="117454"/>
    <n v="6.6"/>
    <n v="106.77636363636364"/>
  </r>
  <r>
    <x v="16"/>
    <x v="0"/>
    <x v="4"/>
    <n v="131688"/>
    <n v="7.4"/>
    <n v="119.71636363636364"/>
  </r>
  <r>
    <x v="17"/>
    <x v="1"/>
    <x v="4"/>
    <n v="143909"/>
    <n v="8"/>
    <n v="130.82636363636362"/>
  </r>
  <r>
    <x v="18"/>
    <x v="2"/>
    <x v="4"/>
    <n v="157617"/>
    <n v="8.6"/>
    <n v="143.28818181818181"/>
  </r>
  <r>
    <x v="19"/>
    <x v="3"/>
    <x v="4"/>
    <n v="174317"/>
    <n v="9.5"/>
    <n v="158.47"/>
  </r>
  <r>
    <x v="20"/>
    <x v="0"/>
    <x v="5"/>
    <n v="190987"/>
    <n v="10.3"/>
    <n v="173.62454545454545"/>
  </r>
  <r>
    <x v="21"/>
    <x v="1"/>
    <x v="5"/>
    <n v="210678"/>
    <n v="10.9"/>
    <n v="191.52545454545455"/>
  </r>
  <r>
    <x v="22"/>
    <x v="2"/>
    <x v="5"/>
    <n v="229491"/>
    <n v="11.5"/>
    <n v="208.62818181818182"/>
  </r>
  <r>
    <x v="23"/>
    <x v="3"/>
    <x v="5"/>
    <n v="242286"/>
    <n v="12.2"/>
    <n v="220.26"/>
  </r>
  <r>
    <x v="24"/>
    <x v="0"/>
    <x v="6"/>
    <n v="250908"/>
    <n v="12.5"/>
    <n v="228.0981818181818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2020"/>
    <x v="0"/>
    <n v="33.5"/>
    <x v="0"/>
    <n v="3.2835820895522394E-2"/>
  </r>
  <r>
    <x v="1"/>
    <x v="1"/>
    <n v="2020"/>
    <x v="1"/>
    <n v="39.200000000000003"/>
    <x v="1"/>
    <n v="3.3163265306122451E-2"/>
  </r>
  <r>
    <x v="2"/>
    <x v="2"/>
    <n v="2020"/>
    <x v="2"/>
    <n v="37"/>
    <x v="2"/>
    <n v="4.0540540540540543E-2"/>
  </r>
  <r>
    <x v="3"/>
    <x v="3"/>
    <n v="2020"/>
    <x v="3"/>
    <n v="37"/>
    <x v="3"/>
    <n v="4.3243243243243246E-2"/>
  </r>
  <r>
    <x v="4"/>
    <x v="0"/>
    <n v="2021"/>
    <x v="4"/>
    <n v="39.9"/>
    <x v="4"/>
    <n v="4.5112781954887222E-2"/>
  </r>
  <r>
    <x v="5"/>
    <x v="1"/>
    <n v="2021"/>
    <x v="5"/>
    <n v="37.9"/>
    <x v="5"/>
    <n v="5.0131926121372031E-2"/>
  </r>
  <r>
    <x v="6"/>
    <x v="2"/>
    <n v="2021"/>
    <x v="6"/>
    <n v="41.7"/>
    <x v="6"/>
    <n v="5.2757793764988008E-2"/>
  </r>
  <r>
    <x v="7"/>
    <x v="3"/>
    <n v="2021"/>
    <x v="7"/>
    <n v="42.4"/>
    <x v="7"/>
    <n v="5.8962264150943397E-2"/>
  </r>
  <r>
    <x v="8"/>
    <x v="0"/>
    <n v="2022"/>
    <x v="8"/>
    <n v="49.2"/>
    <x v="8"/>
    <n v="5.8943089430894303E-2"/>
  </r>
  <r>
    <x v="9"/>
    <x v="1"/>
    <n v="2022"/>
    <x v="9"/>
    <n v="49.5"/>
    <x v="9"/>
    <n v="6.6666666666666666E-2"/>
  </r>
  <r>
    <x v="10"/>
    <x v="2"/>
    <n v="2022"/>
    <x v="10"/>
    <n v="56.5"/>
    <x v="10"/>
    <n v="6.5486725663716813E-2"/>
  </r>
  <r>
    <x v="11"/>
    <x v="3"/>
    <n v="2022"/>
    <x v="11"/>
    <n v="60.7"/>
    <x v="11"/>
    <n v="6.919275123558484E-2"/>
  </r>
  <r>
    <x v="12"/>
    <x v="0"/>
    <n v="2023"/>
    <x v="12"/>
    <n v="72.599999999999994"/>
    <x v="12"/>
    <n v="6.6115702479338845E-2"/>
  </r>
  <r>
    <x v="13"/>
    <x v="1"/>
    <n v="2023"/>
    <x v="13"/>
    <n v="74.099999999999994"/>
    <x v="13"/>
    <n v="7.0175438596491238E-2"/>
  </r>
  <r>
    <x v="14"/>
    <x v="2"/>
    <n v="2023"/>
    <x v="14"/>
    <n v="83.1"/>
    <x v="14"/>
    <n v="6.9795427196149215E-2"/>
  </r>
  <r>
    <x v="15"/>
    <x v="3"/>
    <n v="2023"/>
    <x v="15"/>
    <n v="88.4"/>
    <x v="15"/>
    <n v="7.466063348416288E-2"/>
  </r>
  <r>
    <x v="16"/>
    <x v="0"/>
    <n v="2024"/>
    <x v="16"/>
    <n v="97.6"/>
    <x v="16"/>
    <n v="7.5819672131147556E-2"/>
  </r>
  <r>
    <x v="17"/>
    <x v="1"/>
    <n v="2024"/>
    <x v="17"/>
    <n v="103.6"/>
    <x v="17"/>
    <n v="7.7220077220077218E-2"/>
  </r>
  <r>
    <x v="18"/>
    <x v="2"/>
    <n v="2024"/>
    <x v="18"/>
    <n v="113.1"/>
    <x v="18"/>
    <n v="7.6038903625110524E-2"/>
  </r>
  <r>
    <x v="19"/>
    <x v="3"/>
    <n v="2024"/>
    <x v="19"/>
    <n v="116.7"/>
    <x v="19"/>
    <n v="8.1405312767780638E-2"/>
  </r>
  <r>
    <x v="20"/>
    <x v="0"/>
    <n v="2025"/>
    <x v="20"/>
    <n v="130.19999999999999"/>
    <x v="20"/>
    <n v="7.9109062980030731E-2"/>
  </r>
  <r>
    <x v="21"/>
    <x v="1"/>
    <n v="2025"/>
    <x v="21"/>
    <n v="128.30000000000001"/>
    <x v="21"/>
    <n v="8.4957131722525323E-2"/>
  </r>
  <r>
    <x v="22"/>
    <x v="2"/>
    <n v="2025"/>
    <x v="22"/>
    <n v="135.30000000000001"/>
    <x v="22"/>
    <n v="8.4996304508499626E-2"/>
  </r>
  <r>
    <x v="23"/>
    <x v="3"/>
    <n v="2025"/>
    <x v="23"/>
    <n v="133.1"/>
    <x v="23"/>
    <n v="9.1660405709992482E-2"/>
  </r>
  <r>
    <x v="24"/>
    <x v="0"/>
    <n v="2026"/>
    <x v="24"/>
    <n v="137.80000000000001"/>
    <x v="24"/>
    <n v="9.0711175616835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ED4B1-4CD8-4A26-80C5-42B05B13FE11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QuarterYear">
  <location ref="A3:B36" firstHeaderRow="1" firstDataRow="1" firstDataCol="1" rowPageCount="1" colPageCount="1"/>
  <pivotFields count="18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4" showAll="0"/>
    <pivotField numFmtId="164" showAll="0"/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showAll="0"/>
  </pivotFields>
  <rowFields count="2">
    <field x="2"/>
    <field x="0"/>
  </rowFields>
  <rowItems count="33">
    <i>
      <x/>
    </i>
    <i r="1">
      <x/>
    </i>
    <i r="1">
      <x v="7"/>
    </i>
    <i r="1">
      <x v="13"/>
    </i>
    <i r="1">
      <x v="19"/>
    </i>
    <i>
      <x v="1"/>
    </i>
    <i r="1">
      <x v="1"/>
    </i>
    <i r="1">
      <x v="8"/>
    </i>
    <i r="1">
      <x v="14"/>
    </i>
    <i r="1">
      <x v="20"/>
    </i>
    <i>
      <x v="2"/>
    </i>
    <i r="1">
      <x v="2"/>
    </i>
    <i r="1">
      <x v="9"/>
    </i>
    <i r="1">
      <x v="15"/>
    </i>
    <i r="1">
      <x v="21"/>
    </i>
    <i>
      <x v="3"/>
    </i>
    <i r="1">
      <x v="3"/>
    </i>
    <i r="1">
      <x v="10"/>
    </i>
    <i r="1">
      <x v="16"/>
    </i>
    <i r="1">
      <x v="22"/>
    </i>
    <i>
      <x v="4"/>
    </i>
    <i r="1">
      <x v="4"/>
    </i>
    <i r="1">
      <x v="11"/>
    </i>
    <i r="1">
      <x v="17"/>
    </i>
    <i r="1">
      <x v="23"/>
    </i>
    <i>
      <x v="5"/>
    </i>
    <i r="1">
      <x v="5"/>
    </i>
    <i r="1">
      <x v="12"/>
    </i>
    <i r="1">
      <x v="18"/>
    </i>
    <i r="1">
      <x v="24"/>
    </i>
    <i>
      <x v="6"/>
    </i>
    <i r="1">
      <x v="6"/>
    </i>
    <i t="grand">
      <x/>
    </i>
  </rowItems>
  <colItems count="1">
    <i/>
  </colItems>
  <pageFields count="1">
    <pageField fld="1" hier="-1"/>
  </pageFields>
  <dataFields count="1">
    <dataField name="Revenue" fld="3" baseField="0" baseItem="0" numFmtId="6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D2407-C9F5-4E07-A9C2-34B7FE4AACD7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G5:M14" firstHeaderRow="1" firstDataRow="2" firstDataCol="1" rowPageCount="1" colPageCount="1"/>
  <pivotFields count="5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numFmtId="6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item="0" hier="-1"/>
  </pageFields>
  <dataFields count="1">
    <dataField name="Sum of Amount" fld="4" showDataAs="percentOfRow" baseField="0" baseItem="0" numFmtId="10"/>
  </dataFields>
  <formats count="2"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0455B-C4A3-49F4-BD7B-534982E0DCF6}" name="PivotTable40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G3:I11" firstHeaderRow="0" firstDataRow="1" firstDataCol="1" rowPageCount="1" colPageCount="1"/>
  <pivotFields count="5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165" showAll="0"/>
    <pivotField dataField="1" numFmtId="167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Total Revenue (subscription)" fld="3" baseField="0" baseItem="0"/>
    <dataField name="Sales and Marketing 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EC3F5-339D-44A4-9F29-2585F77F6E8D}" name="PivotTable4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J5:K13" firstHeaderRow="1" firstDataRow="1" firstDataCol="1" rowPageCount="1" colPageCount="1"/>
  <pivotFields count="7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5"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item="0" hier="-1"/>
  </pageFields>
  <dataFields count="1">
    <dataField name="Sum of CAC" fld="6" baseField="0" baseItem="0"/>
  </dataFields>
  <formats count="1">
    <format dxfId="17">
      <pivotArea collapsedLevelsAreSubtotals="1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288EF-0EB0-4A8E-8EED-A325A280CA4F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4:Q12" firstHeaderRow="0" firstDataRow="1" firstDataCol="1" rowPageCount="1" colPageCount="1"/>
  <pivotFields count="7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numFmtId="165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dataField="1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 Subscriptions" fld="3" baseField="0" baseItem="0" numFmtId="167"/>
    <dataField name=" Paid Subscribers" fld="5" baseField="0" baseItem="0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B6043-61A4-4BD7-B67E-07ACAF357040}" name="PivotTable1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J4:L12" firstHeaderRow="0" firstDataRow="1" firstDataCol="1" rowPageCount="1" colPageCount="1"/>
  <pivotFields count="6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showAll="0"/>
    <pivotField name="Paid Subscribers2" showAll="0"/>
    <pivotField dataField="1"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MAU " fld="3" baseField="0" baseItem="0"/>
    <dataField name=" Conversion Rate" fld="5" baseField="0" baseItem="0"/>
  </dataFields>
  <formats count="1">
    <format dxfId="13">
      <pivotArea collapsedLevelsAreSubtotals="1" fieldPosition="0">
        <references count="2">
          <reference field="4294967294" count="1" selected="0">
            <x v="1"/>
          </reference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80A6F-A20A-4706-97D2-34D93DFED23F}" name="PivotTable3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H3:J11" firstHeaderRow="0" firstDataRow="1" firstDataCol="1" rowPageCount="1" colPageCount="1"/>
  <pivotFields count="6">
    <pivotField axis="axisRow" showAll="0">
      <items count="26">
        <item x="0"/>
        <item x="4"/>
        <item x="8"/>
        <item x="12"/>
        <item x="16"/>
        <item x="20"/>
        <item x="24"/>
        <item x="1"/>
        <item x="5"/>
        <item x="9"/>
        <item x="13"/>
        <item x="17"/>
        <item x="21"/>
        <item x="2"/>
        <item x="6"/>
        <item x="10"/>
        <item x="14"/>
        <item x="18"/>
        <item x="22"/>
        <item x="3"/>
        <item x="7"/>
        <item x="11"/>
        <item x="15"/>
        <item x="19"/>
        <item x="2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5" showAll="0"/>
    <pivotField dataField="1" showAll="0"/>
    <pivotField dataField="1" numFmtId="4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  Paid Subscribers" fld="4" baseField="0" baseItem="0" numFmtId="2"/>
    <dataField name=" ARPPU" fld="5" baseField="0" baseItem="0" numFmtId="44"/>
  </dataFields>
  <formats count="2"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07B27-0FAD-4207-9329-08E58D47BFF6}" name="Table1" displayName="Table1" ref="A1:E126" totalsRowShown="0">
  <autoFilter ref="A1:E126" xr:uid="{35F0BE4F-7912-4DD8-9DC5-ECDF6A4481DF}"/>
  <tableColumns count="5">
    <tableColumn id="1" xr3:uid="{42484FB9-5BA5-4AB2-A1B7-3FCB4CEED69D}" name="Description"/>
    <tableColumn id="2" xr3:uid="{27A1FD1D-A203-4E8A-AD0E-6DAEB1946ED4}" name="Quarter"/>
    <tableColumn id="3" xr3:uid="{0E76D19A-5952-45BF-B9B8-3170CAFFFE06}" name="Year"/>
    <tableColumn id="4" xr3:uid="{10A89964-06DD-4692-9020-0B8EA2B4CAAD}" name="Revenue Source" dataDxfId="25"/>
    <tableColumn id="5" xr3:uid="{51FF285D-EC7C-4FB2-B617-E66A54AD7A8F}" name="Amount" dataDxfId="24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DFB89C-F93E-464F-94A6-12E003437D10}" name="Table4" displayName="Table4" ref="A1:E26" totalsRowShown="0" headerRowDxfId="23" dataDxfId="22" tableBorderDxfId="21">
  <autoFilter ref="A1:E26" xr:uid="{CD190805-5A7E-4679-BE32-1908B88BD18F}"/>
  <tableColumns count="5">
    <tableColumn id="1" xr3:uid="{FE897DE4-8853-4D04-AAD5-0F6848F0816E}" name="Description"/>
    <tableColumn id="2" xr3:uid="{AB7B0600-2EFB-45D4-B1BD-0D61E6EE48FD}" name="Quarter"/>
    <tableColumn id="3" xr3:uid="{95826A19-19D8-4E6A-A2BF-087E164B384B}" name="Year" dataDxfId="20"/>
    <tableColumn id="4" xr3:uid="{EA205851-A52F-4015-B278-48F33A0FFE1E}" name="Total Revenue" dataDxfId="19"/>
    <tableColumn id="5" xr3:uid="{77749BA9-8B9E-4AC9-9CCA-42BC7AB918CA}" name="Sales and Marketing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F65FDC-91E4-4F53-AB8C-CF9F8CB65517}" name="Table29" displayName="Table29" ref="A1:G26" totalsRowShown="0">
  <autoFilter ref="A1:G26" xr:uid="{215FC920-A1DB-47EA-A2AA-EA89E289D1FD}"/>
  <tableColumns count="7">
    <tableColumn id="1" xr3:uid="{16B88A03-7C52-4650-B090-732F0C0409D7}" name="Description"/>
    <tableColumn id="2" xr3:uid="{98AE68A5-FE37-4877-A676-482F4567DF60}" name="Quarter"/>
    <tableColumn id="3" xr3:uid="{02151289-7989-4E87-B82D-057D77302FE5}" name="Year"/>
    <tableColumn id="4" xr3:uid="{A26F5A0C-F49E-45C8-B1A3-788CB4A63F24}" name="Sales and marketing" dataDxfId="16"/>
    <tableColumn id="8" xr3:uid="{1A1359F2-5A90-4E80-AAFC-BD844337DE86}" name="Paid Subscribers"/>
    <tableColumn id="5" xr3:uid="{66D2E645-763C-4689-BA86-B01C13AD45FE}" name="New Member" dataDxfId="15">
      <calculatedColumnFormula>Table29[[#This Row],[Paid Subscribers]]-E1</calculatedColumnFormula>
    </tableColumn>
    <tableColumn id="6" xr3:uid="{88EABC30-83B2-402F-9873-D2D235608B6A}" name="CAC" dataDxfId="14">
      <calculatedColumnFormula>(D2 * 1000) / (F2 * 1000000)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0BA01C-48E6-46BB-8817-580C82245810}" name="Table27" displayName="Table27" ref="A1:G26" totalsRowShown="0">
  <autoFilter ref="A1:G26" xr:uid="{215FC920-A1DB-47EA-A2AA-EA89E289D1FD}"/>
  <tableColumns count="7">
    <tableColumn id="1" xr3:uid="{7A01959B-6FAA-4E18-8299-186355853CA3}" name="Description"/>
    <tableColumn id="2" xr3:uid="{1014A9DD-6D65-45BE-A6D8-110DED89F880}" name="Quarter"/>
    <tableColumn id="3" xr3:uid="{C7E4B2E6-7E6E-481B-AFD2-10833B454DD9}" name="Year"/>
    <tableColumn id="9" xr3:uid="{E7A46C03-CEB0-4DFF-85BD-129136CD0833}" name="Subscriptions" dataDxfId="11"/>
    <tableColumn id="4" xr3:uid="{14F185E9-C0B8-4579-8453-429EA1F05B30}" name="MAU"/>
    <tableColumn id="8" xr3:uid="{68B70390-E773-4FC9-8130-7EBBF92587C0}" name="Paid Subscribers"/>
    <tableColumn id="5" xr3:uid="{47478B43-29F9-43DE-9479-40608820828B}" name="Conversion Rate" dataDxfId="10">
      <calculatedColumnFormula>Table27[[#This Row],[Paid Subscribers]]/Table27[[#This Row],[MAU]]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0FF9E4-3BAB-42CE-BEBD-1A6975BCDE61}" name="Table3" displayName="Table3" ref="A1:F26" totalsRowShown="0" headerRowDxfId="7" tableBorderDxfId="6">
  <autoFilter ref="A1:F26" xr:uid="{5944451D-96EC-47EB-9BD9-B18A925447F8}"/>
  <tableColumns count="6">
    <tableColumn id="1" xr3:uid="{56BA9A68-1CFE-490B-A90A-E2AB01679774}" name="Description" dataDxfId="5"/>
    <tableColumn id="2" xr3:uid="{47D4D9AB-CDEA-4993-9A35-009595172CDB}" name="Quarter" dataDxfId="4"/>
    <tableColumn id="3" xr3:uid="{71D72A62-4F25-4992-84A6-D46325F5364B}" name="Year" dataDxfId="3"/>
    <tableColumn id="4" xr3:uid="{C359DDC7-3760-4983-B487-BF35F15F15C3}" name="Subscription" dataDxfId="2"/>
    <tableColumn id="5" xr3:uid="{8F350646-EC3E-428F-8CD3-EE2778C03B97}" name="Paid Subscribers" dataDxfId="1"/>
    <tableColumn id="6" xr3:uid="{E4F73E82-082E-406B-BB30-655BF6CDCCEB}" name="ARPPU" dataDxfId="0" dataCellStyle="Currency">
      <calculatedColumnFormula>D2/(E2*1000)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0F66-3153-4740-B62F-E5D8A22D14D0}">
  <dimension ref="A1:X26"/>
  <sheetViews>
    <sheetView zoomScale="61" workbookViewId="0">
      <selection activeCell="E1" sqref="E1:E26"/>
    </sheetView>
  </sheetViews>
  <sheetFormatPr defaultRowHeight="14.4" x14ac:dyDescent="0.3"/>
  <cols>
    <col min="1" max="1" width="10.44140625" bestFit="1" customWidth="1"/>
    <col min="2" max="2" width="7.44140625" bestFit="1" customWidth="1"/>
    <col min="3" max="3" width="7.6640625" customWidth="1"/>
    <col min="4" max="4" width="22.109375" bestFit="1" customWidth="1"/>
    <col min="5" max="5" width="28.33203125" bestFit="1" customWidth="1"/>
    <col min="6" max="6" width="23.5546875" bestFit="1" customWidth="1"/>
    <col min="7" max="7" width="21" bestFit="1" customWidth="1"/>
    <col min="8" max="8" width="24.21875" bestFit="1" customWidth="1"/>
    <col min="9" max="9" width="30.88671875" bestFit="1" customWidth="1"/>
    <col min="10" max="10" width="18.6640625" bestFit="1" customWidth="1"/>
    <col min="11" max="11" width="22.44140625" bestFit="1" customWidth="1"/>
    <col min="12" max="12" width="18.6640625" bestFit="1" customWidth="1"/>
    <col min="13" max="13" width="8.5546875" bestFit="1" customWidth="1"/>
    <col min="14" max="14" width="10.44140625" bestFit="1" customWidth="1"/>
    <col min="15" max="15" width="15.21875" bestFit="1" customWidth="1"/>
    <col min="16" max="16" width="14.77734375" bestFit="1" customWidth="1"/>
    <col min="17" max="17" width="33.33203125" bestFit="1" customWidth="1"/>
    <col min="18" max="18" width="10.77734375" bestFit="1" customWidth="1"/>
    <col min="19" max="19" width="9.77734375" bestFit="1" customWidth="1"/>
    <col min="20" max="20" width="17.77734375" bestFit="1" customWidth="1"/>
    <col min="21" max="21" width="15.109375" bestFit="1" customWidth="1"/>
    <col min="22" max="22" width="17.77734375" bestFit="1" customWidth="1"/>
    <col min="23" max="23" width="15.109375" bestFit="1" customWidth="1"/>
  </cols>
  <sheetData>
    <row r="1" spans="1:24" x14ac:dyDescent="0.3">
      <c r="A1" s="2" t="s">
        <v>25</v>
      </c>
      <c r="B1" s="2" t="s">
        <v>52</v>
      </c>
      <c r="C1" s="2" t="s">
        <v>51</v>
      </c>
      <c r="D1" s="1" t="s">
        <v>37</v>
      </c>
      <c r="E1" s="1" t="s">
        <v>38</v>
      </c>
      <c r="F1" s="1" t="s">
        <v>39</v>
      </c>
      <c r="G1" s="1" t="s">
        <v>62</v>
      </c>
      <c r="H1" s="1" t="s">
        <v>26</v>
      </c>
      <c r="I1" s="1" t="s">
        <v>27</v>
      </c>
      <c r="J1" s="1" t="s">
        <v>28</v>
      </c>
      <c r="K1" s="1" t="s">
        <v>57</v>
      </c>
      <c r="L1" s="1" t="s">
        <v>29</v>
      </c>
      <c r="M1" s="1" t="s">
        <v>58</v>
      </c>
      <c r="N1" s="1" t="s">
        <v>30</v>
      </c>
      <c r="O1" s="1" t="s">
        <v>35</v>
      </c>
      <c r="P1" s="1" t="s">
        <v>36</v>
      </c>
      <c r="Q1" s="1" t="s">
        <v>59</v>
      </c>
      <c r="R1" s="1" t="s">
        <v>60</v>
      </c>
      <c r="S1" s="1" t="s">
        <v>61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56</v>
      </c>
    </row>
    <row r="2" spans="1:24" x14ac:dyDescent="0.3">
      <c r="A2" s="3" t="s">
        <v>0</v>
      </c>
      <c r="B2" s="3" t="s">
        <v>47</v>
      </c>
      <c r="C2" s="4" t="s">
        <v>40</v>
      </c>
      <c r="D2" s="9">
        <v>9576</v>
      </c>
      <c r="E2" s="9">
        <v>5511</v>
      </c>
      <c r="F2" s="9">
        <v>7266</v>
      </c>
      <c r="G2" s="9">
        <v>0</v>
      </c>
      <c r="H2" s="10">
        <v>33.5</v>
      </c>
      <c r="I2" s="10">
        <v>6.8</v>
      </c>
      <c r="J2" s="10">
        <v>1.1000000000000001</v>
      </c>
      <c r="K2" s="11">
        <v>3.5999999999999997E-2</v>
      </c>
      <c r="L2" s="9">
        <v>30737</v>
      </c>
      <c r="M2" s="9">
        <v>6143</v>
      </c>
      <c r="N2" s="9">
        <v>36880</v>
      </c>
      <c r="O2" s="9">
        <v>28112</v>
      </c>
      <c r="P2" s="9">
        <v>19898</v>
      </c>
      <c r="Q2" s="11">
        <v>0.70799999999999996</v>
      </c>
      <c r="R2" s="9">
        <v>-2233</v>
      </c>
      <c r="S2" s="9">
        <v>4719</v>
      </c>
      <c r="T2" s="9">
        <v>22171</v>
      </c>
      <c r="U2" s="9">
        <v>5008</v>
      </c>
      <c r="V2" s="9">
        <v>753</v>
      </c>
      <c r="W2" s="9">
        <v>0</v>
      </c>
      <c r="X2" s="9">
        <v>180</v>
      </c>
    </row>
    <row r="3" spans="1:24" x14ac:dyDescent="0.3">
      <c r="A3" s="3" t="s">
        <v>1</v>
      </c>
      <c r="B3" s="3" t="s">
        <v>48</v>
      </c>
      <c r="C3" s="4" t="s">
        <v>40</v>
      </c>
      <c r="D3" s="9">
        <v>12111</v>
      </c>
      <c r="E3" s="9">
        <v>8625</v>
      </c>
      <c r="F3" s="9">
        <v>7384</v>
      </c>
      <c r="G3" s="9">
        <v>0</v>
      </c>
      <c r="H3" s="10">
        <v>39.200000000000003</v>
      </c>
      <c r="I3" s="10">
        <v>9</v>
      </c>
      <c r="J3" s="10">
        <v>1.3</v>
      </c>
      <c r="K3" s="11">
        <v>4.1000000000000002E-2</v>
      </c>
      <c r="L3" s="9">
        <v>36581</v>
      </c>
      <c r="M3" s="9">
        <v>12988</v>
      </c>
      <c r="N3" s="9">
        <v>49569</v>
      </c>
      <c r="O3" s="9">
        <v>40011</v>
      </c>
      <c r="P3" s="9">
        <v>28202</v>
      </c>
      <c r="Q3" s="11">
        <v>0.70499999999999996</v>
      </c>
      <c r="R3" s="9">
        <v>40</v>
      </c>
      <c r="S3" s="9">
        <v>8461</v>
      </c>
      <c r="T3" s="9">
        <v>28274</v>
      </c>
      <c r="U3" s="9">
        <v>6808</v>
      </c>
      <c r="V3" s="9">
        <v>4598</v>
      </c>
      <c r="W3" s="9">
        <v>0</v>
      </c>
      <c r="X3" s="9">
        <v>331</v>
      </c>
    </row>
    <row r="4" spans="1:24" x14ac:dyDescent="0.3">
      <c r="A4" s="3" t="s">
        <v>2</v>
      </c>
      <c r="B4" s="3" t="s">
        <v>49</v>
      </c>
      <c r="C4" s="4" t="s">
        <v>40</v>
      </c>
      <c r="D4" s="9">
        <v>15894</v>
      </c>
      <c r="E4" s="9">
        <v>11142</v>
      </c>
      <c r="F4" s="9">
        <v>8235</v>
      </c>
      <c r="G4" s="9">
        <v>0</v>
      </c>
      <c r="H4" s="10">
        <v>37</v>
      </c>
      <c r="I4" s="10">
        <v>8.4</v>
      </c>
      <c r="J4" s="10">
        <v>1.5</v>
      </c>
      <c r="K4" s="11">
        <v>4.2000000000000003E-2</v>
      </c>
      <c r="L4" s="9">
        <v>33778</v>
      </c>
      <c r="M4" s="9">
        <v>12889</v>
      </c>
      <c r="N4" s="9">
        <v>46667</v>
      </c>
      <c r="O4" s="9">
        <v>45305</v>
      </c>
      <c r="P4" s="9">
        <v>32204</v>
      </c>
      <c r="Q4" s="11">
        <v>0.71099999999999997</v>
      </c>
      <c r="R4" s="9">
        <v>-3176</v>
      </c>
      <c r="S4" s="9">
        <v>847</v>
      </c>
      <c r="T4" s="9">
        <v>32317</v>
      </c>
      <c r="U4" s="9">
        <v>6720</v>
      </c>
      <c r="V4" s="9">
        <v>5607</v>
      </c>
      <c r="W4" s="9">
        <v>0</v>
      </c>
      <c r="X4" s="9">
        <v>661</v>
      </c>
    </row>
    <row r="5" spans="1:24" x14ac:dyDescent="0.3">
      <c r="A5" s="3" t="s">
        <v>3</v>
      </c>
      <c r="B5" s="3" t="s">
        <v>50</v>
      </c>
      <c r="C5" s="4" t="s">
        <v>40</v>
      </c>
      <c r="D5" s="9">
        <v>15443</v>
      </c>
      <c r="E5" s="9">
        <v>9705</v>
      </c>
      <c r="F5" s="9">
        <v>20828</v>
      </c>
      <c r="G5" s="9">
        <v>0</v>
      </c>
      <c r="H5" s="10">
        <v>37</v>
      </c>
      <c r="I5" s="10">
        <v>8.4</v>
      </c>
      <c r="J5" s="10">
        <v>1.6</v>
      </c>
      <c r="K5" s="11">
        <v>4.3999999999999997E-2</v>
      </c>
      <c r="L5" s="9">
        <v>43284</v>
      </c>
      <c r="M5" s="9">
        <v>13780</v>
      </c>
      <c r="N5" s="9">
        <v>57064</v>
      </c>
      <c r="O5" s="9">
        <v>48268</v>
      </c>
      <c r="P5" s="9">
        <v>35405</v>
      </c>
      <c r="Q5" s="11">
        <v>0.73399999999999999</v>
      </c>
      <c r="R5" s="9">
        <v>-10407</v>
      </c>
      <c r="S5" s="9">
        <v>3681</v>
      </c>
      <c r="T5" s="9">
        <v>34739</v>
      </c>
      <c r="U5" s="9">
        <v>8507</v>
      </c>
      <c r="V5" s="9">
        <v>4197</v>
      </c>
      <c r="W5" s="9">
        <v>0</v>
      </c>
      <c r="X5" s="9">
        <v>825</v>
      </c>
    </row>
    <row r="6" spans="1:24" x14ac:dyDescent="0.3">
      <c r="A6" s="3" t="s">
        <v>4</v>
      </c>
      <c r="B6" s="3" t="s">
        <v>47</v>
      </c>
      <c r="C6" s="4" t="s">
        <v>41</v>
      </c>
      <c r="D6" s="9">
        <v>22529</v>
      </c>
      <c r="E6" s="9">
        <v>19773</v>
      </c>
      <c r="F6" s="9">
        <v>11453</v>
      </c>
      <c r="G6" s="9">
        <v>0</v>
      </c>
      <c r="H6" s="10">
        <v>39.9</v>
      </c>
      <c r="I6" s="10">
        <v>9.5</v>
      </c>
      <c r="J6" s="10">
        <v>1.8</v>
      </c>
      <c r="K6" s="11">
        <v>4.8000000000000001E-2</v>
      </c>
      <c r="L6" s="9">
        <v>50466</v>
      </c>
      <c r="M6" s="9">
        <v>15364</v>
      </c>
      <c r="N6" s="9">
        <v>65830</v>
      </c>
      <c r="O6" s="9">
        <v>55360</v>
      </c>
      <c r="P6" s="9">
        <v>40341</v>
      </c>
      <c r="Q6" s="11">
        <v>0.72899999999999998</v>
      </c>
      <c r="R6" s="9">
        <v>-13472</v>
      </c>
      <c r="S6" s="9">
        <v>5123</v>
      </c>
      <c r="T6" s="9">
        <v>40055</v>
      </c>
      <c r="U6" s="9">
        <v>9275</v>
      </c>
      <c r="V6" s="9">
        <v>5035</v>
      </c>
      <c r="W6" s="9">
        <v>0</v>
      </c>
      <c r="X6" s="9">
        <v>995</v>
      </c>
    </row>
    <row r="7" spans="1:24" x14ac:dyDescent="0.3">
      <c r="A7" s="3" t="s">
        <v>5</v>
      </c>
      <c r="B7" s="3" t="s">
        <v>48</v>
      </c>
      <c r="C7" s="4" t="s">
        <v>41</v>
      </c>
      <c r="D7" s="9">
        <v>21940</v>
      </c>
      <c r="E7" s="9">
        <v>9619</v>
      </c>
      <c r="F7" s="9">
        <v>11585</v>
      </c>
      <c r="G7" s="9">
        <v>0</v>
      </c>
      <c r="H7" s="10">
        <v>37.9</v>
      </c>
      <c r="I7" s="10">
        <v>9.1</v>
      </c>
      <c r="J7" s="10">
        <v>1.9</v>
      </c>
      <c r="K7" s="11">
        <v>5.0999999999999997E-2</v>
      </c>
      <c r="L7" s="9">
        <v>48941</v>
      </c>
      <c r="M7" s="9">
        <v>15597</v>
      </c>
      <c r="N7" s="9">
        <v>64538</v>
      </c>
      <c r="O7" s="9">
        <v>58803</v>
      </c>
      <c r="P7" s="9">
        <v>42666</v>
      </c>
      <c r="Q7" s="11">
        <v>0.72599999999999998</v>
      </c>
      <c r="R7" s="9">
        <v>-176</v>
      </c>
      <c r="S7" s="9">
        <v>-896</v>
      </c>
      <c r="T7" s="9">
        <v>43502</v>
      </c>
      <c r="U7" s="9">
        <v>9056</v>
      </c>
      <c r="V7" s="9">
        <v>4833</v>
      </c>
      <c r="W7" s="9">
        <v>0</v>
      </c>
      <c r="X7" s="9">
        <v>1412</v>
      </c>
    </row>
    <row r="8" spans="1:24" x14ac:dyDescent="0.3">
      <c r="A8" s="3" t="s">
        <v>6</v>
      </c>
      <c r="B8" s="3" t="s">
        <v>49</v>
      </c>
      <c r="C8" s="4" t="s">
        <v>41</v>
      </c>
      <c r="D8" s="9">
        <v>29345</v>
      </c>
      <c r="E8" s="9">
        <v>15267</v>
      </c>
      <c r="F8" s="9">
        <v>29605</v>
      </c>
      <c r="G8" s="9">
        <v>0</v>
      </c>
      <c r="H8" s="10">
        <v>41.7</v>
      </c>
      <c r="I8" s="10">
        <v>9.8000000000000007</v>
      </c>
      <c r="J8" s="10">
        <v>2.2000000000000002</v>
      </c>
      <c r="K8" s="11">
        <v>5.5E-2</v>
      </c>
      <c r="L8" s="9">
        <v>55362</v>
      </c>
      <c r="M8" s="9">
        <v>17696</v>
      </c>
      <c r="N8" s="9">
        <v>73058</v>
      </c>
      <c r="O8" s="9">
        <v>63595</v>
      </c>
      <c r="P8" s="9">
        <v>45517</v>
      </c>
      <c r="Q8" s="11">
        <v>0.71599999999999997</v>
      </c>
      <c r="R8" s="9">
        <v>-28970</v>
      </c>
      <c r="S8" s="9">
        <v>4511</v>
      </c>
      <c r="T8" s="9">
        <v>46030</v>
      </c>
      <c r="U8" s="9">
        <v>9029</v>
      </c>
      <c r="V8" s="9">
        <v>6695</v>
      </c>
      <c r="W8" s="9">
        <v>0</v>
      </c>
      <c r="X8" s="9">
        <v>1841</v>
      </c>
    </row>
    <row r="9" spans="1:24" x14ac:dyDescent="0.3">
      <c r="A9" s="3" t="s">
        <v>7</v>
      </c>
      <c r="B9" s="3" t="s">
        <v>50</v>
      </c>
      <c r="C9" s="4" t="s">
        <v>41</v>
      </c>
      <c r="D9" s="9">
        <v>30019</v>
      </c>
      <c r="E9" s="9">
        <v>14511</v>
      </c>
      <c r="F9" s="9">
        <v>25947</v>
      </c>
      <c r="G9" s="9">
        <v>0</v>
      </c>
      <c r="H9" s="10">
        <v>42.4</v>
      </c>
      <c r="I9" s="10">
        <v>10.1</v>
      </c>
      <c r="J9" s="10">
        <v>2.5</v>
      </c>
      <c r="K9" s="11">
        <v>6.2E-2</v>
      </c>
      <c r="L9" s="9">
        <v>69752</v>
      </c>
      <c r="M9" s="9">
        <v>21069</v>
      </c>
      <c r="N9" s="9">
        <v>90821</v>
      </c>
      <c r="O9" s="9">
        <v>73014</v>
      </c>
      <c r="P9" s="9">
        <v>53062</v>
      </c>
      <c r="Q9" s="11">
        <v>0.72699999999999998</v>
      </c>
      <c r="R9" s="9">
        <v>-17517</v>
      </c>
      <c r="S9" s="9">
        <v>432</v>
      </c>
      <c r="T9" s="9">
        <v>51111</v>
      </c>
      <c r="U9" s="9">
        <v>11141</v>
      </c>
      <c r="V9" s="9">
        <v>8095</v>
      </c>
      <c r="W9" s="9">
        <v>6836</v>
      </c>
      <c r="X9" s="9">
        <v>-4169</v>
      </c>
    </row>
    <row r="10" spans="1:24" x14ac:dyDescent="0.3">
      <c r="A10" s="3" t="s">
        <v>8</v>
      </c>
      <c r="B10" s="3" t="s">
        <v>47</v>
      </c>
      <c r="C10" s="4" t="s">
        <v>42</v>
      </c>
      <c r="D10" s="9">
        <v>29781</v>
      </c>
      <c r="E10" s="9">
        <v>14940</v>
      </c>
      <c r="F10" s="9">
        <v>26856</v>
      </c>
      <c r="G10" s="9">
        <v>0</v>
      </c>
      <c r="H10" s="10">
        <v>49.2</v>
      </c>
      <c r="I10" s="10">
        <v>12.5</v>
      </c>
      <c r="J10" s="10">
        <v>2.9</v>
      </c>
      <c r="K10" s="11">
        <v>6.8000000000000005E-2</v>
      </c>
      <c r="L10" s="9">
        <v>78539</v>
      </c>
      <c r="M10" s="9">
        <v>23515</v>
      </c>
      <c r="N10" s="9">
        <v>102054</v>
      </c>
      <c r="O10" s="9">
        <v>81220</v>
      </c>
      <c r="P10" s="9">
        <v>59730</v>
      </c>
      <c r="Q10" s="11">
        <v>0.73499999999999999</v>
      </c>
      <c r="R10" s="9">
        <v>-12154</v>
      </c>
      <c r="S10" s="9">
        <v>20627</v>
      </c>
      <c r="T10" s="9">
        <v>58010</v>
      </c>
      <c r="U10" s="9">
        <v>11748</v>
      </c>
      <c r="V10" s="9">
        <v>8080</v>
      </c>
      <c r="W10" s="9">
        <v>0</v>
      </c>
      <c r="X10" s="9">
        <v>3382</v>
      </c>
    </row>
    <row r="11" spans="1:24" x14ac:dyDescent="0.3">
      <c r="A11" s="3" t="s">
        <v>9</v>
      </c>
      <c r="B11" s="3" t="s">
        <v>48</v>
      </c>
      <c r="C11" s="4" t="s">
        <v>42</v>
      </c>
      <c r="D11" s="9">
        <v>34217</v>
      </c>
      <c r="E11" s="9">
        <v>15277</v>
      </c>
      <c r="F11" s="9">
        <v>30057</v>
      </c>
      <c r="G11" s="9">
        <v>0</v>
      </c>
      <c r="H11" s="10">
        <v>49.5</v>
      </c>
      <c r="I11" s="10">
        <v>13.2</v>
      </c>
      <c r="J11" s="10">
        <v>3.3</v>
      </c>
      <c r="K11" s="11">
        <v>7.1999999999999995E-2</v>
      </c>
      <c r="L11" s="9">
        <v>74123</v>
      </c>
      <c r="M11" s="9">
        <v>23344</v>
      </c>
      <c r="N11" s="9">
        <v>97467</v>
      </c>
      <c r="O11" s="9">
        <v>88386</v>
      </c>
      <c r="P11" s="9">
        <v>64517</v>
      </c>
      <c r="Q11" s="11">
        <v>0.73</v>
      </c>
      <c r="R11" s="9">
        <v>-15045</v>
      </c>
      <c r="S11" s="9">
        <v>12662</v>
      </c>
      <c r="T11" s="9">
        <v>65194</v>
      </c>
      <c r="U11" s="9">
        <v>11218</v>
      </c>
      <c r="V11" s="9">
        <v>8036</v>
      </c>
      <c r="W11" s="9">
        <v>0</v>
      </c>
      <c r="X11" s="9">
        <v>3938</v>
      </c>
    </row>
    <row r="12" spans="1:24" x14ac:dyDescent="0.3">
      <c r="A12" s="3" t="s">
        <v>10</v>
      </c>
      <c r="B12" s="3" t="s">
        <v>49</v>
      </c>
      <c r="C12" s="4" t="s">
        <v>42</v>
      </c>
      <c r="D12" s="9">
        <v>41976</v>
      </c>
      <c r="E12" s="9">
        <v>17721</v>
      </c>
      <c r="F12" s="9">
        <v>30228</v>
      </c>
      <c r="G12" s="9">
        <v>0</v>
      </c>
      <c r="H12" s="10">
        <v>56.5</v>
      </c>
      <c r="I12" s="10">
        <v>14.9</v>
      </c>
      <c r="J12" s="10">
        <v>3.7</v>
      </c>
      <c r="K12" s="11">
        <v>7.3999999999999996E-2</v>
      </c>
      <c r="L12" s="9">
        <v>78858</v>
      </c>
      <c r="M12" s="9">
        <v>23880</v>
      </c>
      <c r="N12" s="9">
        <v>102738</v>
      </c>
      <c r="O12" s="9">
        <v>96065</v>
      </c>
      <c r="P12" s="9">
        <v>69763</v>
      </c>
      <c r="Q12" s="11">
        <v>0.72599999999999998</v>
      </c>
      <c r="R12" s="9">
        <v>-18445</v>
      </c>
      <c r="S12" s="9">
        <v>8759</v>
      </c>
      <c r="T12" s="9">
        <v>72172</v>
      </c>
      <c r="U12" s="9">
        <v>10619</v>
      </c>
      <c r="V12" s="9">
        <v>8192</v>
      </c>
      <c r="W12" s="9">
        <v>0</v>
      </c>
      <c r="X12" s="9">
        <v>5082</v>
      </c>
    </row>
    <row r="13" spans="1:24" x14ac:dyDescent="0.3">
      <c r="A13" s="3" t="s">
        <v>11</v>
      </c>
      <c r="B13" s="3" t="s">
        <v>50</v>
      </c>
      <c r="C13" s="4" t="s">
        <v>42</v>
      </c>
      <c r="D13" s="9">
        <v>44470</v>
      </c>
      <c r="E13" s="9">
        <v>19029</v>
      </c>
      <c r="F13" s="9">
        <v>30707</v>
      </c>
      <c r="G13" s="9">
        <v>0</v>
      </c>
      <c r="H13" s="10">
        <v>60.7</v>
      </c>
      <c r="I13" s="10">
        <v>16.3</v>
      </c>
      <c r="J13" s="10">
        <v>4.2</v>
      </c>
      <c r="K13" s="11">
        <v>7.8E-2</v>
      </c>
      <c r="L13" s="9">
        <v>100283</v>
      </c>
      <c r="M13" s="9">
        <v>26105</v>
      </c>
      <c r="N13" s="9">
        <v>126388</v>
      </c>
      <c r="O13" s="9">
        <v>103824</v>
      </c>
      <c r="P13" s="9">
        <v>76054</v>
      </c>
      <c r="Q13" s="11">
        <v>0.73299999999999998</v>
      </c>
      <c r="R13" s="9">
        <v>-13930</v>
      </c>
      <c r="S13" s="9">
        <v>11608</v>
      </c>
      <c r="T13" s="9">
        <v>78131</v>
      </c>
      <c r="U13" s="9">
        <v>11146</v>
      </c>
      <c r="V13" s="9">
        <v>8410</v>
      </c>
      <c r="W13" s="9">
        <v>5855</v>
      </c>
      <c r="X13" s="9">
        <v>282</v>
      </c>
    </row>
    <row r="14" spans="1:24" x14ac:dyDescent="0.3">
      <c r="A14" s="3" t="s">
        <v>12</v>
      </c>
      <c r="B14" s="3" t="s">
        <v>47</v>
      </c>
      <c r="C14" s="4" t="s">
        <v>43</v>
      </c>
      <c r="D14" s="9">
        <v>45844</v>
      </c>
      <c r="E14" s="9">
        <v>16601</v>
      </c>
      <c r="F14" s="9">
        <v>30243</v>
      </c>
      <c r="G14" s="9">
        <v>0</v>
      </c>
      <c r="H14" s="10">
        <v>72.599999999999994</v>
      </c>
      <c r="I14" s="10">
        <v>20.3</v>
      </c>
      <c r="J14" s="10">
        <v>4.8</v>
      </c>
      <c r="K14" s="11">
        <v>0.08</v>
      </c>
      <c r="L14" s="9">
        <v>110122</v>
      </c>
      <c r="M14" s="9">
        <v>29932</v>
      </c>
      <c r="N14" s="9">
        <v>140054</v>
      </c>
      <c r="O14" s="9">
        <v>115661</v>
      </c>
      <c r="P14" s="9">
        <v>84169</v>
      </c>
      <c r="Q14" s="11">
        <v>0.72799999999999998</v>
      </c>
      <c r="R14" s="9">
        <v>-2582</v>
      </c>
      <c r="S14" s="9">
        <v>29604</v>
      </c>
      <c r="T14" s="9">
        <v>86185</v>
      </c>
      <c r="U14" s="9">
        <v>11635</v>
      </c>
      <c r="V14" s="9">
        <v>9972</v>
      </c>
      <c r="W14" s="9">
        <v>7852</v>
      </c>
      <c r="X14" s="9">
        <v>17</v>
      </c>
    </row>
    <row r="15" spans="1:24" x14ac:dyDescent="0.3">
      <c r="A15" s="3" t="s">
        <v>13</v>
      </c>
      <c r="B15" s="3" t="s">
        <v>48</v>
      </c>
      <c r="C15" s="4" t="s">
        <v>43</v>
      </c>
      <c r="D15" s="9">
        <v>47947</v>
      </c>
      <c r="E15" s="9">
        <v>17734</v>
      </c>
      <c r="F15" s="9">
        <v>32235</v>
      </c>
      <c r="G15" s="9">
        <v>0</v>
      </c>
      <c r="H15" s="10">
        <v>74.099999999999994</v>
      </c>
      <c r="I15" s="10">
        <v>21.4</v>
      </c>
      <c r="J15" s="10">
        <v>5.2</v>
      </c>
      <c r="K15" s="11">
        <v>7.9000000000000001E-2</v>
      </c>
      <c r="L15" s="9">
        <v>106254</v>
      </c>
      <c r="M15" s="9">
        <v>31285</v>
      </c>
      <c r="N15" s="9">
        <v>137539</v>
      </c>
      <c r="O15" s="9">
        <v>126839</v>
      </c>
      <c r="P15" s="9">
        <v>93051</v>
      </c>
      <c r="Q15" s="11">
        <v>0.73399999999999999</v>
      </c>
      <c r="R15" s="9">
        <v>3725</v>
      </c>
      <c r="S15" s="9">
        <v>37167</v>
      </c>
      <c r="T15" s="9">
        <v>95158</v>
      </c>
      <c r="U15" s="9">
        <v>13061</v>
      </c>
      <c r="V15" s="9">
        <v>9809</v>
      </c>
      <c r="W15" s="9">
        <v>8675</v>
      </c>
      <c r="X15" s="9">
        <v>136</v>
      </c>
    </row>
    <row r="16" spans="1:24" x14ac:dyDescent="0.3">
      <c r="A16" s="3" t="s">
        <v>14</v>
      </c>
      <c r="B16" s="3" t="s">
        <v>49</v>
      </c>
      <c r="C16" s="4" t="s">
        <v>43</v>
      </c>
      <c r="D16" s="9">
        <v>50305</v>
      </c>
      <c r="E16" s="9">
        <v>22335</v>
      </c>
      <c r="F16" s="9">
        <v>33400</v>
      </c>
      <c r="G16" s="9">
        <v>0</v>
      </c>
      <c r="H16" s="10">
        <v>83.1</v>
      </c>
      <c r="I16" s="10">
        <v>24.2</v>
      </c>
      <c r="J16" s="10">
        <v>5.8</v>
      </c>
      <c r="K16" s="11">
        <v>0.08</v>
      </c>
      <c r="L16" s="9">
        <v>121342</v>
      </c>
      <c r="M16" s="9">
        <v>32214</v>
      </c>
      <c r="N16" s="9">
        <v>153556</v>
      </c>
      <c r="O16" s="9">
        <v>137624</v>
      </c>
      <c r="P16" s="9">
        <v>101370</v>
      </c>
      <c r="Q16" s="11">
        <v>0.73699999999999999</v>
      </c>
      <c r="R16" s="9">
        <v>2807</v>
      </c>
      <c r="S16" s="9">
        <v>37650</v>
      </c>
      <c r="T16" s="9">
        <v>105887</v>
      </c>
      <c r="U16" s="9">
        <v>11678</v>
      </c>
      <c r="V16" s="9">
        <v>10612</v>
      </c>
      <c r="W16" s="9">
        <v>9233</v>
      </c>
      <c r="X16" s="9">
        <v>214</v>
      </c>
    </row>
    <row r="17" spans="1:24" x14ac:dyDescent="0.3">
      <c r="A17" s="3" t="s">
        <v>15</v>
      </c>
      <c r="B17" s="3" t="s">
        <v>50</v>
      </c>
      <c r="C17" s="4" t="s">
        <v>43</v>
      </c>
      <c r="D17" s="9">
        <v>50256</v>
      </c>
      <c r="E17" s="9">
        <v>19118</v>
      </c>
      <c r="F17" s="9">
        <v>36245</v>
      </c>
      <c r="G17" s="9">
        <v>0</v>
      </c>
      <c r="H17" s="10">
        <v>88.4</v>
      </c>
      <c r="I17" s="10">
        <v>26.9</v>
      </c>
      <c r="J17" s="10">
        <v>6.6</v>
      </c>
      <c r="K17" s="11">
        <v>8.3000000000000004E-2</v>
      </c>
      <c r="L17" s="9">
        <v>157779</v>
      </c>
      <c r="M17" s="9">
        <v>33253</v>
      </c>
      <c r="N17" s="9">
        <v>191032</v>
      </c>
      <c r="O17" s="9">
        <v>150985</v>
      </c>
      <c r="P17" s="9">
        <v>110414</v>
      </c>
      <c r="Q17" s="11">
        <v>0.73099999999999998</v>
      </c>
      <c r="R17" s="9">
        <v>12117</v>
      </c>
      <c r="S17" s="9">
        <v>49193</v>
      </c>
      <c r="T17" s="9">
        <v>117454</v>
      </c>
      <c r="U17" s="9">
        <v>13484</v>
      </c>
      <c r="V17" s="9">
        <v>10819</v>
      </c>
      <c r="W17" s="9">
        <v>8913</v>
      </c>
      <c r="X17" s="9">
        <v>315</v>
      </c>
    </row>
    <row r="18" spans="1:24" x14ac:dyDescent="0.3">
      <c r="A18" s="3" t="s">
        <v>16</v>
      </c>
      <c r="B18" s="3" t="s">
        <v>47</v>
      </c>
      <c r="C18" s="4" t="s">
        <v>44</v>
      </c>
      <c r="D18" s="9">
        <v>50878</v>
      </c>
      <c r="E18" s="9">
        <v>19931</v>
      </c>
      <c r="F18" s="9">
        <v>35114</v>
      </c>
      <c r="G18" s="9">
        <v>0</v>
      </c>
      <c r="H18" s="10">
        <v>97.6</v>
      </c>
      <c r="I18" s="10">
        <v>31.4</v>
      </c>
      <c r="J18" s="10">
        <v>7.4</v>
      </c>
      <c r="K18" s="11">
        <v>8.5999999999999993E-2</v>
      </c>
      <c r="L18" s="9">
        <v>161466</v>
      </c>
      <c r="M18" s="9">
        <v>35986</v>
      </c>
      <c r="N18" s="9">
        <v>197452</v>
      </c>
      <c r="O18" s="9">
        <v>167553</v>
      </c>
      <c r="P18" s="9">
        <v>122362</v>
      </c>
      <c r="Q18" s="11">
        <v>0.73</v>
      </c>
      <c r="R18" s="9">
        <v>26956</v>
      </c>
      <c r="S18" s="9">
        <v>83514</v>
      </c>
      <c r="T18" s="9">
        <v>131688</v>
      </c>
      <c r="U18" s="9">
        <v>12952</v>
      </c>
      <c r="V18" s="9">
        <v>12755</v>
      </c>
      <c r="W18" s="9">
        <v>9924</v>
      </c>
      <c r="X18" s="9">
        <v>234</v>
      </c>
    </row>
    <row r="19" spans="1:24" x14ac:dyDescent="0.3">
      <c r="A19" s="3" t="s">
        <v>17</v>
      </c>
      <c r="B19" s="3" t="s">
        <v>48</v>
      </c>
      <c r="C19" s="4" t="s">
        <v>44</v>
      </c>
      <c r="D19" s="9">
        <v>55147</v>
      </c>
      <c r="E19" s="9">
        <v>20174</v>
      </c>
      <c r="F19" s="9">
        <v>36957</v>
      </c>
      <c r="G19" s="9">
        <v>0</v>
      </c>
      <c r="H19" s="10">
        <v>103.6</v>
      </c>
      <c r="I19" s="10">
        <v>34.1</v>
      </c>
      <c r="J19" s="10">
        <v>8</v>
      </c>
      <c r="K19" s="11">
        <v>8.5999999999999993E-2</v>
      </c>
      <c r="L19" s="9">
        <v>156484</v>
      </c>
      <c r="M19" s="9">
        <v>33608</v>
      </c>
      <c r="N19" s="9">
        <v>190092</v>
      </c>
      <c r="O19" s="9">
        <v>178327</v>
      </c>
      <c r="P19" s="9">
        <v>130978</v>
      </c>
      <c r="Q19" s="11">
        <v>0.73399999999999999</v>
      </c>
      <c r="R19" s="9">
        <v>24351</v>
      </c>
      <c r="S19" s="9">
        <v>62388</v>
      </c>
      <c r="T19" s="9">
        <v>143909</v>
      </c>
      <c r="U19" s="9">
        <v>13258</v>
      </c>
      <c r="V19" s="9">
        <v>10698</v>
      </c>
      <c r="W19" s="9">
        <v>10176</v>
      </c>
      <c r="X19" s="9">
        <v>286</v>
      </c>
    </row>
    <row r="20" spans="1:24" x14ac:dyDescent="0.3">
      <c r="A20" s="3" t="s">
        <v>18</v>
      </c>
      <c r="B20" s="3" t="s">
        <v>49</v>
      </c>
      <c r="C20" s="4" t="s">
        <v>44</v>
      </c>
      <c r="D20" s="9">
        <v>62878</v>
      </c>
      <c r="E20" s="9">
        <v>25574</v>
      </c>
      <c r="F20" s="9">
        <v>38388</v>
      </c>
      <c r="G20" s="9">
        <v>0</v>
      </c>
      <c r="H20" s="10">
        <v>113.1</v>
      </c>
      <c r="I20" s="10">
        <v>37.200000000000003</v>
      </c>
      <c r="J20" s="10">
        <v>8.6</v>
      </c>
      <c r="K20" s="11">
        <v>8.5000000000000006E-2</v>
      </c>
      <c r="L20" s="9">
        <v>176309</v>
      </c>
      <c r="M20" s="9">
        <v>35147</v>
      </c>
      <c r="N20" s="9">
        <v>211456</v>
      </c>
      <c r="O20" s="9">
        <v>192594</v>
      </c>
      <c r="P20" s="9">
        <v>140414</v>
      </c>
      <c r="Q20" s="11">
        <v>0.72899999999999998</v>
      </c>
      <c r="R20" s="9">
        <v>23360</v>
      </c>
      <c r="S20" s="9">
        <v>56267</v>
      </c>
      <c r="T20" s="9">
        <v>157617</v>
      </c>
      <c r="U20" s="9">
        <v>14405</v>
      </c>
      <c r="V20" s="9">
        <v>10772</v>
      </c>
      <c r="W20" s="9">
        <v>9411</v>
      </c>
      <c r="X20" s="9">
        <v>389</v>
      </c>
    </row>
    <row r="21" spans="1:24" x14ac:dyDescent="0.3">
      <c r="A21" s="3" t="s">
        <v>19</v>
      </c>
      <c r="B21" s="3" t="s">
        <v>50</v>
      </c>
      <c r="C21" s="4" t="s">
        <v>44</v>
      </c>
      <c r="D21" s="9">
        <v>66395</v>
      </c>
      <c r="E21" s="9">
        <v>24815</v>
      </c>
      <c r="F21" s="9">
        <v>45533</v>
      </c>
      <c r="G21" s="9">
        <v>0</v>
      </c>
      <c r="H21" s="10">
        <v>116.7</v>
      </c>
      <c r="I21" s="10">
        <v>40.5</v>
      </c>
      <c r="J21" s="10">
        <v>9.5</v>
      </c>
      <c r="K21" s="11">
        <v>8.7999999999999995E-2</v>
      </c>
      <c r="L21" s="9">
        <v>236500</v>
      </c>
      <c r="M21" s="9">
        <v>35100</v>
      </c>
      <c r="N21" s="9">
        <v>271600</v>
      </c>
      <c r="O21" s="9">
        <v>209550</v>
      </c>
      <c r="P21" s="9">
        <v>150625</v>
      </c>
      <c r="Q21" s="11">
        <v>0.71899999999999997</v>
      </c>
      <c r="R21" s="9">
        <v>13907</v>
      </c>
      <c r="S21" s="9">
        <v>83344</v>
      </c>
      <c r="T21" s="9">
        <v>174317</v>
      </c>
      <c r="U21" s="9">
        <v>14292</v>
      </c>
      <c r="V21" s="9">
        <v>11415</v>
      </c>
      <c r="W21" s="9">
        <v>9142</v>
      </c>
      <c r="X21" s="9">
        <v>384</v>
      </c>
    </row>
    <row r="22" spans="1:24" x14ac:dyDescent="0.3">
      <c r="A22" s="3" t="s">
        <v>20</v>
      </c>
      <c r="B22" s="3" t="s">
        <v>47</v>
      </c>
      <c r="C22" s="4" t="s">
        <v>45</v>
      </c>
      <c r="D22" s="9">
        <v>70390</v>
      </c>
      <c r="E22" s="9">
        <v>26662</v>
      </c>
      <c r="F22" s="9">
        <v>43450</v>
      </c>
      <c r="G22" s="9">
        <v>0</v>
      </c>
      <c r="H22" s="10">
        <v>130.19999999999999</v>
      </c>
      <c r="I22" s="10">
        <v>46.6</v>
      </c>
      <c r="J22" s="10">
        <v>10.3</v>
      </c>
      <c r="K22" s="11">
        <v>8.8999999999999996E-2</v>
      </c>
      <c r="L22" s="9">
        <v>232184</v>
      </c>
      <c r="M22" s="9">
        <v>39464</v>
      </c>
      <c r="N22" s="9">
        <v>271648</v>
      </c>
      <c r="O22" s="9">
        <v>230743</v>
      </c>
      <c r="P22" s="9">
        <v>164096</v>
      </c>
      <c r="Q22" s="11">
        <v>0.71099999999999997</v>
      </c>
      <c r="R22" s="9">
        <v>35135</v>
      </c>
      <c r="S22" s="9">
        <v>105631</v>
      </c>
      <c r="T22" s="9">
        <v>190987</v>
      </c>
      <c r="U22" s="9">
        <v>17882</v>
      </c>
      <c r="V22" s="9">
        <v>11986</v>
      </c>
      <c r="W22" s="9">
        <v>9442</v>
      </c>
      <c r="X22" s="9">
        <v>446</v>
      </c>
    </row>
    <row r="23" spans="1:24" x14ac:dyDescent="0.3">
      <c r="A23" s="3" t="s">
        <v>21</v>
      </c>
      <c r="B23" s="3" t="s">
        <v>48</v>
      </c>
      <c r="C23" s="4" t="s">
        <v>45</v>
      </c>
      <c r="D23" s="9">
        <v>73670</v>
      </c>
      <c r="E23" s="9">
        <v>29563</v>
      </c>
      <c r="F23" s="9">
        <v>45985</v>
      </c>
      <c r="G23" s="9">
        <v>0</v>
      </c>
      <c r="H23" s="10">
        <v>128.30000000000001</v>
      </c>
      <c r="I23" s="10">
        <v>47.7</v>
      </c>
      <c r="J23" s="10">
        <v>10.9</v>
      </c>
      <c r="K23" s="11">
        <v>0.09</v>
      </c>
      <c r="L23" s="9">
        <v>227259</v>
      </c>
      <c r="M23" s="9">
        <v>40761</v>
      </c>
      <c r="N23" s="9">
        <v>268020</v>
      </c>
      <c r="O23" s="9">
        <v>252265</v>
      </c>
      <c r="P23" s="9">
        <v>182581</v>
      </c>
      <c r="Q23" s="11">
        <v>0.72399999999999998</v>
      </c>
      <c r="R23" s="9">
        <v>44781</v>
      </c>
      <c r="S23" s="9">
        <v>90675</v>
      </c>
      <c r="T23" s="9">
        <v>210678</v>
      </c>
      <c r="U23" s="9">
        <v>20603</v>
      </c>
      <c r="V23" s="9">
        <v>10088</v>
      </c>
      <c r="W23" s="9">
        <v>10390</v>
      </c>
      <c r="X23" s="9">
        <v>506</v>
      </c>
    </row>
    <row r="24" spans="1:24" x14ac:dyDescent="0.3">
      <c r="A24" s="3" t="s">
        <v>22</v>
      </c>
      <c r="B24" s="3" t="s">
        <v>49</v>
      </c>
      <c r="C24" s="4" t="s">
        <v>45</v>
      </c>
      <c r="D24" s="9">
        <v>82707</v>
      </c>
      <c r="E24" s="9">
        <v>35081</v>
      </c>
      <c r="F24" s="9">
        <v>43964</v>
      </c>
      <c r="G24" s="9">
        <v>0</v>
      </c>
      <c r="H24" s="10">
        <v>135.30000000000001</v>
      </c>
      <c r="I24" s="10">
        <v>50.5</v>
      </c>
      <c r="J24" s="10">
        <v>11.5</v>
      </c>
      <c r="K24" s="11">
        <v>0.09</v>
      </c>
      <c r="L24" s="9">
        <v>240270</v>
      </c>
      <c r="M24" s="9">
        <v>41649</v>
      </c>
      <c r="N24" s="9">
        <v>281919</v>
      </c>
      <c r="O24" s="9">
        <v>271713</v>
      </c>
      <c r="P24" s="9">
        <v>196911</v>
      </c>
      <c r="Q24" s="11">
        <v>0.72499999999999998</v>
      </c>
      <c r="R24" s="9">
        <v>292195</v>
      </c>
      <c r="S24" s="9">
        <v>84239</v>
      </c>
      <c r="T24" s="9">
        <v>229491</v>
      </c>
      <c r="U24" s="9">
        <v>21019</v>
      </c>
      <c r="V24" s="9">
        <v>9649</v>
      </c>
      <c r="W24" s="9">
        <v>11096</v>
      </c>
      <c r="X24" s="9">
        <v>458</v>
      </c>
    </row>
    <row r="25" spans="1:24" x14ac:dyDescent="0.3">
      <c r="A25" s="3" t="s">
        <v>23</v>
      </c>
      <c r="B25" s="3" t="s">
        <v>50</v>
      </c>
      <c r="C25" s="4" t="s">
        <v>45</v>
      </c>
      <c r="D25" s="9">
        <v>79556</v>
      </c>
      <c r="E25" s="9">
        <v>34371</v>
      </c>
      <c r="F25" s="9">
        <v>48488</v>
      </c>
      <c r="G25" s="9">
        <v>0</v>
      </c>
      <c r="H25" s="10">
        <v>133.1</v>
      </c>
      <c r="I25" s="10">
        <v>52.7</v>
      </c>
      <c r="J25" s="10">
        <v>12.2</v>
      </c>
      <c r="K25" s="11">
        <v>9.1999999999999998E-2</v>
      </c>
      <c r="L25" s="9">
        <v>296600</v>
      </c>
      <c r="M25" s="9">
        <v>40200</v>
      </c>
      <c r="N25" s="9">
        <v>336800</v>
      </c>
      <c r="O25" s="9">
        <v>282868</v>
      </c>
      <c r="P25" s="9">
        <v>205869</v>
      </c>
      <c r="Q25" s="11">
        <v>0.72799999999999998</v>
      </c>
      <c r="R25" s="9">
        <v>41954</v>
      </c>
      <c r="S25" s="9">
        <v>107278</v>
      </c>
      <c r="T25" s="9">
        <v>242286</v>
      </c>
      <c r="U25" s="9">
        <v>20221</v>
      </c>
      <c r="V25" s="9">
        <v>10283</v>
      </c>
      <c r="W25" s="9">
        <v>9551</v>
      </c>
      <c r="X25" s="9">
        <v>527</v>
      </c>
    </row>
    <row r="26" spans="1:24" x14ac:dyDescent="0.3">
      <c r="A26" s="3" t="s">
        <v>24</v>
      </c>
      <c r="B26" s="3" t="s">
        <v>47</v>
      </c>
      <c r="C26" s="4" t="s">
        <v>46</v>
      </c>
      <c r="D26" s="9">
        <v>82974</v>
      </c>
      <c r="E26" s="9">
        <v>39249</v>
      </c>
      <c r="F26" s="9">
        <v>46346</v>
      </c>
      <c r="G26" s="9">
        <v>0</v>
      </c>
      <c r="H26" s="10">
        <v>137.80000000000001</v>
      </c>
      <c r="I26" s="10">
        <v>56.5</v>
      </c>
      <c r="J26" s="10">
        <v>12.5</v>
      </c>
      <c r="K26" s="11"/>
      <c r="L26" s="9">
        <v>268065</v>
      </c>
      <c r="M26" s="9">
        <v>40419</v>
      </c>
      <c r="N26" s="9">
        <v>308484</v>
      </c>
      <c r="O26" s="9">
        <v>291967</v>
      </c>
      <c r="P26" s="9">
        <v>213096</v>
      </c>
      <c r="Q26" s="11">
        <v>0.73</v>
      </c>
      <c r="R26" s="9">
        <v>43460</v>
      </c>
      <c r="S26" s="9">
        <v>150771</v>
      </c>
      <c r="T26" s="9">
        <v>250908</v>
      </c>
      <c r="U26" s="9">
        <v>20614</v>
      </c>
      <c r="V26" s="9">
        <v>11317</v>
      </c>
      <c r="W26" s="9">
        <v>8446</v>
      </c>
      <c r="X26" s="9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B2EF-4482-4CE6-81F1-7C9B3AF75AE5}">
  <dimension ref="A1:B36"/>
  <sheetViews>
    <sheetView zoomScale="70" zoomScaleNormal="70" workbookViewId="0">
      <selection activeCell="T38" sqref="T38"/>
    </sheetView>
  </sheetViews>
  <sheetFormatPr defaultRowHeight="14.4" x14ac:dyDescent="0.3"/>
  <cols>
    <col min="1" max="1" width="14.77734375" bestFit="1" customWidth="1"/>
    <col min="2" max="2" width="11.5546875" bestFit="1" customWidth="1"/>
  </cols>
  <sheetData>
    <row r="1" spans="1:2" x14ac:dyDescent="0.3">
      <c r="A1" s="5" t="s">
        <v>52</v>
      </c>
      <c r="B1" t="s">
        <v>65</v>
      </c>
    </row>
    <row r="3" spans="1:2" x14ac:dyDescent="0.3">
      <c r="A3" s="5" t="s">
        <v>53</v>
      </c>
      <c r="B3" s="8" t="s">
        <v>55</v>
      </c>
    </row>
    <row r="4" spans="1:2" x14ac:dyDescent="0.3">
      <c r="A4" s="6" t="s">
        <v>40</v>
      </c>
      <c r="B4" s="7">
        <v>161696</v>
      </c>
    </row>
    <row r="5" spans="1:2" x14ac:dyDescent="0.3">
      <c r="A5" s="13" t="s">
        <v>0</v>
      </c>
      <c r="B5" s="7">
        <v>28112</v>
      </c>
    </row>
    <row r="6" spans="1:2" x14ac:dyDescent="0.3">
      <c r="A6" s="13" t="s">
        <v>1</v>
      </c>
      <c r="B6" s="7">
        <v>40011</v>
      </c>
    </row>
    <row r="7" spans="1:2" x14ac:dyDescent="0.3">
      <c r="A7" s="13" t="s">
        <v>2</v>
      </c>
      <c r="B7" s="7">
        <v>45305</v>
      </c>
    </row>
    <row r="8" spans="1:2" x14ac:dyDescent="0.3">
      <c r="A8" s="13" t="s">
        <v>3</v>
      </c>
      <c r="B8" s="7">
        <v>48268</v>
      </c>
    </row>
    <row r="9" spans="1:2" x14ac:dyDescent="0.3">
      <c r="A9" s="6" t="s">
        <v>41</v>
      </c>
      <c r="B9" s="7">
        <v>250772</v>
      </c>
    </row>
    <row r="10" spans="1:2" x14ac:dyDescent="0.3">
      <c r="A10" s="13" t="s">
        <v>4</v>
      </c>
      <c r="B10" s="7">
        <v>55360</v>
      </c>
    </row>
    <row r="11" spans="1:2" x14ac:dyDescent="0.3">
      <c r="A11" s="13" t="s">
        <v>5</v>
      </c>
      <c r="B11" s="7">
        <v>58803</v>
      </c>
    </row>
    <row r="12" spans="1:2" x14ac:dyDescent="0.3">
      <c r="A12" s="13" t="s">
        <v>6</v>
      </c>
      <c r="B12" s="7">
        <v>63595</v>
      </c>
    </row>
    <row r="13" spans="1:2" x14ac:dyDescent="0.3">
      <c r="A13" s="13" t="s">
        <v>7</v>
      </c>
      <c r="B13" s="7">
        <v>73014</v>
      </c>
    </row>
    <row r="14" spans="1:2" x14ac:dyDescent="0.3">
      <c r="A14" s="6" t="s">
        <v>42</v>
      </c>
      <c r="B14" s="7">
        <v>369495</v>
      </c>
    </row>
    <row r="15" spans="1:2" x14ac:dyDescent="0.3">
      <c r="A15" s="13" t="s">
        <v>8</v>
      </c>
      <c r="B15" s="7">
        <v>81220</v>
      </c>
    </row>
    <row r="16" spans="1:2" x14ac:dyDescent="0.3">
      <c r="A16" s="13" t="s">
        <v>9</v>
      </c>
      <c r="B16" s="7">
        <v>88386</v>
      </c>
    </row>
    <row r="17" spans="1:2" x14ac:dyDescent="0.3">
      <c r="A17" s="13" t="s">
        <v>10</v>
      </c>
      <c r="B17" s="7">
        <v>96065</v>
      </c>
    </row>
    <row r="18" spans="1:2" x14ac:dyDescent="0.3">
      <c r="A18" s="13" t="s">
        <v>11</v>
      </c>
      <c r="B18" s="7">
        <v>103824</v>
      </c>
    </row>
    <row r="19" spans="1:2" x14ac:dyDescent="0.3">
      <c r="A19" s="6" t="s">
        <v>43</v>
      </c>
      <c r="B19" s="7">
        <v>531109</v>
      </c>
    </row>
    <row r="20" spans="1:2" x14ac:dyDescent="0.3">
      <c r="A20" s="13" t="s">
        <v>12</v>
      </c>
      <c r="B20" s="7">
        <v>115661</v>
      </c>
    </row>
    <row r="21" spans="1:2" x14ac:dyDescent="0.3">
      <c r="A21" s="13" t="s">
        <v>13</v>
      </c>
      <c r="B21" s="7">
        <v>126839</v>
      </c>
    </row>
    <row r="22" spans="1:2" x14ac:dyDescent="0.3">
      <c r="A22" s="13" t="s">
        <v>14</v>
      </c>
      <c r="B22" s="7">
        <v>137624</v>
      </c>
    </row>
    <row r="23" spans="1:2" x14ac:dyDescent="0.3">
      <c r="A23" s="13" t="s">
        <v>15</v>
      </c>
      <c r="B23" s="7">
        <v>150985</v>
      </c>
    </row>
    <row r="24" spans="1:2" x14ac:dyDescent="0.3">
      <c r="A24" s="6" t="s">
        <v>44</v>
      </c>
      <c r="B24" s="7">
        <v>748024</v>
      </c>
    </row>
    <row r="25" spans="1:2" x14ac:dyDescent="0.3">
      <c r="A25" s="13" t="s">
        <v>16</v>
      </c>
      <c r="B25" s="7">
        <v>167553</v>
      </c>
    </row>
    <row r="26" spans="1:2" x14ac:dyDescent="0.3">
      <c r="A26" s="13" t="s">
        <v>17</v>
      </c>
      <c r="B26" s="7">
        <v>178327</v>
      </c>
    </row>
    <row r="27" spans="1:2" x14ac:dyDescent="0.3">
      <c r="A27" s="13" t="s">
        <v>18</v>
      </c>
      <c r="B27" s="7">
        <v>192594</v>
      </c>
    </row>
    <row r="28" spans="1:2" x14ac:dyDescent="0.3">
      <c r="A28" s="13" t="s">
        <v>19</v>
      </c>
      <c r="B28" s="7">
        <v>209550</v>
      </c>
    </row>
    <row r="29" spans="1:2" x14ac:dyDescent="0.3">
      <c r="A29" s="6" t="s">
        <v>45</v>
      </c>
      <c r="B29" s="7">
        <v>1037589</v>
      </c>
    </row>
    <row r="30" spans="1:2" x14ac:dyDescent="0.3">
      <c r="A30" s="13" t="s">
        <v>20</v>
      </c>
      <c r="B30" s="7">
        <v>230743</v>
      </c>
    </row>
    <row r="31" spans="1:2" x14ac:dyDescent="0.3">
      <c r="A31" s="13" t="s">
        <v>21</v>
      </c>
      <c r="B31" s="7">
        <v>252265</v>
      </c>
    </row>
    <row r="32" spans="1:2" x14ac:dyDescent="0.3">
      <c r="A32" s="13" t="s">
        <v>22</v>
      </c>
      <c r="B32" s="7">
        <v>271713</v>
      </c>
    </row>
    <row r="33" spans="1:2" x14ac:dyDescent="0.3">
      <c r="A33" s="13" t="s">
        <v>23</v>
      </c>
      <c r="B33" s="7">
        <v>282868</v>
      </c>
    </row>
    <row r="34" spans="1:2" x14ac:dyDescent="0.3">
      <c r="A34" s="6" t="s">
        <v>46</v>
      </c>
      <c r="B34" s="7">
        <v>291967</v>
      </c>
    </row>
    <row r="35" spans="1:2" x14ac:dyDescent="0.3">
      <c r="A35" s="13" t="s">
        <v>24</v>
      </c>
      <c r="B35" s="7">
        <v>291967</v>
      </c>
    </row>
    <row r="36" spans="1:2" x14ac:dyDescent="0.3">
      <c r="A36" s="6" t="s">
        <v>54</v>
      </c>
      <c r="B36" s="7">
        <v>3390652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53B3-346F-47C1-A82A-18FFE4E03D6C}">
  <dimension ref="A1:O126"/>
  <sheetViews>
    <sheetView tabSelected="1" topLeftCell="D1" zoomScale="54" zoomScaleNormal="30" workbookViewId="0">
      <selection activeCell="L47" sqref="L47"/>
    </sheetView>
  </sheetViews>
  <sheetFormatPr defaultColWidth="22.77734375" defaultRowHeight="14.4" x14ac:dyDescent="0.3"/>
  <cols>
    <col min="1" max="1" width="13.88671875" bestFit="1" customWidth="1"/>
    <col min="2" max="2" width="11.109375" bestFit="1" customWidth="1"/>
    <col min="3" max="3" width="8.109375" bestFit="1" customWidth="1"/>
    <col min="4" max="4" width="18.109375" bestFit="1" customWidth="1"/>
    <col min="5" max="5" width="12.33203125" bestFit="1" customWidth="1"/>
    <col min="7" max="7" width="14.6640625" bestFit="1" customWidth="1"/>
    <col min="8" max="8" width="16.5546875" bestFit="1" customWidth="1"/>
    <col min="9" max="9" width="19.21875" bestFit="1" customWidth="1"/>
    <col min="10" max="10" width="15.77734375" bestFit="1" customWidth="1"/>
    <col min="11" max="11" width="6.21875" bestFit="1" customWidth="1"/>
    <col min="12" max="12" width="11.5546875" bestFit="1" customWidth="1"/>
    <col min="13" max="13" width="10.88671875" bestFit="1" customWidth="1"/>
  </cols>
  <sheetData>
    <row r="1" spans="1:15" ht="15" thickBot="1" x14ac:dyDescent="0.35">
      <c r="A1" s="15" t="s">
        <v>25</v>
      </c>
      <c r="B1" s="15" t="s">
        <v>52</v>
      </c>
      <c r="C1" s="15" t="s">
        <v>51</v>
      </c>
      <c r="D1" s="15" t="s">
        <v>66</v>
      </c>
      <c r="E1" s="15" t="s">
        <v>67</v>
      </c>
    </row>
    <row r="2" spans="1:15" ht="15" thickBot="1" x14ac:dyDescent="0.35">
      <c r="A2" s="15" t="s">
        <v>0</v>
      </c>
      <c r="B2" s="15" t="s">
        <v>47</v>
      </c>
      <c r="C2" s="16">
        <v>2020</v>
      </c>
      <c r="D2" s="15" t="s">
        <v>31</v>
      </c>
      <c r="E2" s="19">
        <v>22171</v>
      </c>
    </row>
    <row r="3" spans="1:15" ht="15" thickBot="1" x14ac:dyDescent="0.35">
      <c r="A3" s="15" t="s">
        <v>1</v>
      </c>
      <c r="B3" s="15" t="s">
        <v>48</v>
      </c>
      <c r="C3" s="16">
        <v>2020</v>
      </c>
      <c r="D3" s="15" t="s">
        <v>31</v>
      </c>
      <c r="E3" s="19">
        <v>28274</v>
      </c>
      <c r="G3" s="5" t="s">
        <v>52</v>
      </c>
      <c r="H3" t="s">
        <v>47</v>
      </c>
    </row>
    <row r="4" spans="1:15" ht="15" thickBot="1" x14ac:dyDescent="0.35">
      <c r="A4" s="15" t="s">
        <v>2</v>
      </c>
      <c r="B4" s="15" t="s">
        <v>49</v>
      </c>
      <c r="C4" s="16">
        <v>2020</v>
      </c>
      <c r="D4" s="15" t="s">
        <v>31</v>
      </c>
      <c r="E4" s="19">
        <v>32317</v>
      </c>
    </row>
    <row r="5" spans="1:15" ht="15" thickBot="1" x14ac:dyDescent="0.35">
      <c r="A5" s="15" t="s">
        <v>3</v>
      </c>
      <c r="B5" s="15" t="s">
        <v>50</v>
      </c>
      <c r="C5" s="16">
        <v>2020</v>
      </c>
      <c r="D5" s="15" t="s">
        <v>31</v>
      </c>
      <c r="E5" s="19">
        <v>34739</v>
      </c>
      <c r="G5" s="5" t="s">
        <v>69</v>
      </c>
      <c r="H5" s="5" t="s">
        <v>63</v>
      </c>
    </row>
    <row r="6" spans="1:15" ht="15" thickBot="1" x14ac:dyDescent="0.35">
      <c r="A6" s="15" t="s">
        <v>4</v>
      </c>
      <c r="B6" s="15" t="s">
        <v>47</v>
      </c>
      <c r="C6" s="16">
        <v>2021</v>
      </c>
      <c r="D6" s="15" t="s">
        <v>31</v>
      </c>
      <c r="E6" s="19">
        <v>40055</v>
      </c>
      <c r="G6" s="5" t="s">
        <v>64</v>
      </c>
      <c r="H6" t="s">
        <v>32</v>
      </c>
      <c r="I6" t="s">
        <v>33</v>
      </c>
      <c r="J6" t="s">
        <v>34</v>
      </c>
      <c r="K6" t="s">
        <v>68</v>
      </c>
      <c r="L6" t="s">
        <v>31</v>
      </c>
      <c r="M6" t="s">
        <v>54</v>
      </c>
    </row>
    <row r="7" spans="1:15" ht="15" thickBot="1" x14ac:dyDescent="0.35">
      <c r="A7" s="15" t="s">
        <v>5</v>
      </c>
      <c r="B7" s="15" t="s">
        <v>48</v>
      </c>
      <c r="C7" s="16">
        <v>2021</v>
      </c>
      <c r="D7" s="15" t="s">
        <v>31</v>
      </c>
      <c r="E7" s="19">
        <v>43502</v>
      </c>
      <c r="G7" s="6" t="s">
        <v>0</v>
      </c>
      <c r="H7" s="14">
        <v>0.17814456459874786</v>
      </c>
      <c r="I7" s="14">
        <v>2.6785714285714284E-2</v>
      </c>
      <c r="J7" s="14">
        <v>0</v>
      </c>
      <c r="K7" s="14">
        <v>6.4029595902105859E-3</v>
      </c>
      <c r="L7" s="14">
        <v>0.78866676152532722</v>
      </c>
      <c r="M7" s="14">
        <v>1</v>
      </c>
      <c r="O7" s="14">
        <f>AVERAGE(L7:L13)</f>
        <v>0.77833359273705738</v>
      </c>
    </row>
    <row r="8" spans="1:15" ht="15" thickBot="1" x14ac:dyDescent="0.35">
      <c r="A8" s="15" t="s">
        <v>6</v>
      </c>
      <c r="B8" s="15" t="s">
        <v>49</v>
      </c>
      <c r="C8" s="16">
        <v>2021</v>
      </c>
      <c r="D8" s="15" t="s">
        <v>31</v>
      </c>
      <c r="E8" s="19">
        <v>46030</v>
      </c>
      <c r="G8" s="6" t="s">
        <v>4</v>
      </c>
      <c r="H8" s="14">
        <v>0.16753973988439305</v>
      </c>
      <c r="I8" s="14">
        <v>9.0950144508670519E-2</v>
      </c>
      <c r="J8" s="14">
        <v>0</v>
      </c>
      <c r="K8" s="14">
        <v>1.7973265895953758E-2</v>
      </c>
      <c r="L8" s="14">
        <v>0.72353684971098264</v>
      </c>
      <c r="M8" s="14">
        <v>1</v>
      </c>
    </row>
    <row r="9" spans="1:15" ht="15" thickBot="1" x14ac:dyDescent="0.35">
      <c r="A9" s="15" t="s">
        <v>7</v>
      </c>
      <c r="B9" s="15" t="s">
        <v>50</v>
      </c>
      <c r="C9" s="16">
        <v>2021</v>
      </c>
      <c r="D9" s="15" t="s">
        <v>31</v>
      </c>
      <c r="E9" s="19">
        <v>51111</v>
      </c>
      <c r="G9" s="6" t="s">
        <v>8</v>
      </c>
      <c r="H9" s="14">
        <v>0.1446441763112534</v>
      </c>
      <c r="I9" s="14">
        <v>9.9482885988672734E-2</v>
      </c>
      <c r="J9" s="14">
        <v>0</v>
      </c>
      <c r="K9" s="14">
        <v>4.1639990150209305E-2</v>
      </c>
      <c r="L9" s="14">
        <v>0.71423294754986455</v>
      </c>
      <c r="M9" s="14">
        <v>1</v>
      </c>
    </row>
    <row r="10" spans="1:15" ht="15" thickBot="1" x14ac:dyDescent="0.35">
      <c r="A10" s="15" t="s">
        <v>8</v>
      </c>
      <c r="B10" s="15" t="s">
        <v>47</v>
      </c>
      <c r="C10" s="16">
        <v>2022</v>
      </c>
      <c r="D10" s="15" t="s">
        <v>31</v>
      </c>
      <c r="E10" s="19">
        <v>58010</v>
      </c>
      <c r="G10" s="6" t="s">
        <v>12</v>
      </c>
      <c r="H10" s="14">
        <v>0.10109830909059313</v>
      </c>
      <c r="I10" s="14">
        <v>8.1651981996072501E-2</v>
      </c>
      <c r="J10" s="14">
        <v>6.822723876057904E-2</v>
      </c>
      <c r="K10" s="14">
        <v>1.4771562136141667E-4</v>
      </c>
      <c r="L10" s="14">
        <v>0.74887475453139396</v>
      </c>
      <c r="M10" s="14">
        <v>1</v>
      </c>
    </row>
    <row r="11" spans="1:15" ht="15" thickBot="1" x14ac:dyDescent="0.35">
      <c r="A11" s="15" t="s">
        <v>9</v>
      </c>
      <c r="B11" s="15" t="s">
        <v>48</v>
      </c>
      <c r="C11" s="16">
        <v>2022</v>
      </c>
      <c r="D11" s="15" t="s">
        <v>31</v>
      </c>
      <c r="E11" s="19">
        <v>65194</v>
      </c>
      <c r="G11" s="6" t="s">
        <v>16</v>
      </c>
      <c r="H11" s="14">
        <v>7.7300913740726812E-2</v>
      </c>
      <c r="I11" s="14">
        <v>7.6125166365269503E-2</v>
      </c>
      <c r="J11" s="14">
        <v>5.9229020071261032E-2</v>
      </c>
      <c r="K11" s="14">
        <v>1.3965730246548852E-3</v>
      </c>
      <c r="L11" s="14">
        <v>0.78594832679808779</v>
      </c>
      <c r="M11" s="14">
        <v>1</v>
      </c>
    </row>
    <row r="12" spans="1:15" ht="15" thickBot="1" x14ac:dyDescent="0.35">
      <c r="A12" s="15" t="s">
        <v>10</v>
      </c>
      <c r="B12" s="15" t="s">
        <v>49</v>
      </c>
      <c r="C12" s="16">
        <v>2022</v>
      </c>
      <c r="D12" s="15" t="s">
        <v>31</v>
      </c>
      <c r="E12" s="19">
        <v>72172</v>
      </c>
      <c r="G12" s="6" t="s">
        <v>20</v>
      </c>
      <c r="H12" s="14">
        <v>7.7497475546387112E-2</v>
      </c>
      <c r="I12" s="14">
        <v>5.1945237775360469E-2</v>
      </c>
      <c r="J12" s="14">
        <v>4.0919984571579637E-2</v>
      </c>
      <c r="K12" s="14">
        <v>1.9328863714175512E-3</v>
      </c>
      <c r="L12" s="14">
        <v>0.82770441573525522</v>
      </c>
      <c r="M12" s="14">
        <v>1</v>
      </c>
    </row>
    <row r="13" spans="1:15" ht="15" thickBot="1" x14ac:dyDescent="0.35">
      <c r="A13" s="15" t="s">
        <v>11</v>
      </c>
      <c r="B13" s="15" t="s">
        <v>50</v>
      </c>
      <c r="C13" s="16">
        <v>2022</v>
      </c>
      <c r="D13" s="15" t="s">
        <v>31</v>
      </c>
      <c r="E13" s="19">
        <v>78131</v>
      </c>
      <c r="G13" s="6" t="s">
        <v>24</v>
      </c>
      <c r="H13" s="14">
        <v>7.0603869615401743E-2</v>
      </c>
      <c r="I13" s="14">
        <v>3.8761229865018995E-2</v>
      </c>
      <c r="J13" s="14">
        <v>2.8927926786246391E-2</v>
      </c>
      <c r="K13" s="14">
        <v>2.3358804248425334E-3</v>
      </c>
      <c r="L13" s="14">
        <v>0.85937109330849037</v>
      </c>
      <c r="M13" s="14">
        <v>1</v>
      </c>
    </row>
    <row r="14" spans="1:15" ht="15" thickBot="1" x14ac:dyDescent="0.35">
      <c r="A14" s="15" t="s">
        <v>12</v>
      </c>
      <c r="B14" s="15" t="s">
        <v>47</v>
      </c>
      <c r="C14" s="16">
        <v>2023</v>
      </c>
      <c r="D14" s="15" t="s">
        <v>31</v>
      </c>
      <c r="E14" s="19">
        <v>86185</v>
      </c>
      <c r="G14" s="6" t="s">
        <v>54</v>
      </c>
      <c r="H14" s="14">
        <v>9.1866220087604547E-2</v>
      </c>
      <c r="I14" s="14">
        <v>6.1155147050485498E-2</v>
      </c>
      <c r="J14" s="14">
        <v>3.6765456305455128E-2</v>
      </c>
      <c r="K14" s="14">
        <v>6.119328976816444E-3</v>
      </c>
      <c r="L14" s="14">
        <v>0.80409384757963842</v>
      </c>
      <c r="M14" s="14">
        <v>1</v>
      </c>
    </row>
    <row r="15" spans="1:15" ht="15" thickBot="1" x14ac:dyDescent="0.35">
      <c r="A15" s="15" t="s">
        <v>13</v>
      </c>
      <c r="B15" s="15" t="s">
        <v>48</v>
      </c>
      <c r="C15" s="16">
        <v>2023</v>
      </c>
      <c r="D15" s="15" t="s">
        <v>31</v>
      </c>
      <c r="E15" s="19">
        <v>95158</v>
      </c>
    </row>
    <row r="16" spans="1:15" ht="15" thickBot="1" x14ac:dyDescent="0.35">
      <c r="A16" s="15" t="s">
        <v>14</v>
      </c>
      <c r="B16" s="15" t="s">
        <v>49</v>
      </c>
      <c r="C16" s="16">
        <v>2023</v>
      </c>
      <c r="D16" s="15" t="s">
        <v>31</v>
      </c>
      <c r="E16" s="19">
        <v>105887</v>
      </c>
    </row>
    <row r="17" spans="1:5" ht="15" thickBot="1" x14ac:dyDescent="0.35">
      <c r="A17" s="15" t="s">
        <v>15</v>
      </c>
      <c r="B17" s="15" t="s">
        <v>50</v>
      </c>
      <c r="C17" s="16">
        <v>2023</v>
      </c>
      <c r="D17" s="15" t="s">
        <v>31</v>
      </c>
      <c r="E17" s="19">
        <v>117454</v>
      </c>
    </row>
    <row r="18" spans="1:5" ht="15" thickBot="1" x14ac:dyDescent="0.35">
      <c r="A18" s="15" t="s">
        <v>16</v>
      </c>
      <c r="B18" s="15" t="s">
        <v>47</v>
      </c>
      <c r="C18" s="16">
        <v>2024</v>
      </c>
      <c r="D18" s="15" t="s">
        <v>31</v>
      </c>
      <c r="E18" s="19">
        <v>131688</v>
      </c>
    </row>
    <row r="19" spans="1:5" ht="15" thickBot="1" x14ac:dyDescent="0.35">
      <c r="A19" s="15" t="s">
        <v>17</v>
      </c>
      <c r="B19" s="15" t="s">
        <v>48</v>
      </c>
      <c r="C19" s="16">
        <v>2024</v>
      </c>
      <c r="D19" s="15" t="s">
        <v>31</v>
      </c>
      <c r="E19" s="19">
        <v>143909</v>
      </c>
    </row>
    <row r="20" spans="1:5" ht="15" thickBot="1" x14ac:dyDescent="0.35">
      <c r="A20" s="15" t="s">
        <v>18</v>
      </c>
      <c r="B20" s="15" t="s">
        <v>49</v>
      </c>
      <c r="C20" s="16">
        <v>2024</v>
      </c>
      <c r="D20" s="15" t="s">
        <v>31</v>
      </c>
      <c r="E20" s="19">
        <v>157617</v>
      </c>
    </row>
    <row r="21" spans="1:5" ht="15" thickBot="1" x14ac:dyDescent="0.35">
      <c r="A21" s="15" t="s">
        <v>19</v>
      </c>
      <c r="B21" s="15" t="s">
        <v>50</v>
      </c>
      <c r="C21" s="16">
        <v>2024</v>
      </c>
      <c r="D21" s="15" t="s">
        <v>31</v>
      </c>
      <c r="E21" s="19">
        <v>174317</v>
      </c>
    </row>
    <row r="22" spans="1:5" ht="15" thickBot="1" x14ac:dyDescent="0.35">
      <c r="A22" s="15" t="s">
        <v>20</v>
      </c>
      <c r="B22" s="15" t="s">
        <v>47</v>
      </c>
      <c r="C22" s="16">
        <v>2025</v>
      </c>
      <c r="D22" s="15" t="s">
        <v>31</v>
      </c>
      <c r="E22" s="19">
        <v>190987</v>
      </c>
    </row>
    <row r="23" spans="1:5" ht="15" thickBot="1" x14ac:dyDescent="0.35">
      <c r="A23" s="15" t="s">
        <v>21</v>
      </c>
      <c r="B23" s="15" t="s">
        <v>48</v>
      </c>
      <c r="C23" s="16">
        <v>2025</v>
      </c>
      <c r="D23" s="15" t="s">
        <v>31</v>
      </c>
      <c r="E23" s="19">
        <v>210678</v>
      </c>
    </row>
    <row r="24" spans="1:5" ht="15" thickBot="1" x14ac:dyDescent="0.35">
      <c r="A24" s="15" t="s">
        <v>22</v>
      </c>
      <c r="B24" s="15" t="s">
        <v>49</v>
      </c>
      <c r="C24" s="16">
        <v>2025</v>
      </c>
      <c r="D24" s="15" t="s">
        <v>31</v>
      </c>
      <c r="E24" s="19">
        <v>229431</v>
      </c>
    </row>
    <row r="25" spans="1:5" ht="15" thickBot="1" x14ac:dyDescent="0.35">
      <c r="A25" s="15" t="s">
        <v>23</v>
      </c>
      <c r="B25" s="15" t="s">
        <v>50</v>
      </c>
      <c r="C25" s="16">
        <v>2025</v>
      </c>
      <c r="D25" s="15" t="s">
        <v>31</v>
      </c>
      <c r="E25" s="19">
        <v>242286</v>
      </c>
    </row>
    <row r="26" spans="1:5" ht="15" thickBot="1" x14ac:dyDescent="0.35">
      <c r="A26" s="15" t="s">
        <v>24</v>
      </c>
      <c r="B26" s="15" t="s">
        <v>47</v>
      </c>
      <c r="C26" s="16">
        <v>2026</v>
      </c>
      <c r="D26" s="15" t="s">
        <v>31</v>
      </c>
      <c r="E26" s="19">
        <v>250908</v>
      </c>
    </row>
    <row r="27" spans="1:5" ht="15" thickBot="1" x14ac:dyDescent="0.35">
      <c r="A27" s="15" t="s">
        <v>0</v>
      </c>
      <c r="B27" s="15" t="s">
        <v>47</v>
      </c>
      <c r="C27" s="16">
        <v>2020</v>
      </c>
      <c r="D27" s="15" t="s">
        <v>32</v>
      </c>
      <c r="E27" s="19">
        <v>5008</v>
      </c>
    </row>
    <row r="28" spans="1:5" ht="15" thickBot="1" x14ac:dyDescent="0.35">
      <c r="A28" s="15" t="s">
        <v>1</v>
      </c>
      <c r="B28" s="15" t="s">
        <v>48</v>
      </c>
      <c r="C28" s="16">
        <v>2020</v>
      </c>
      <c r="D28" s="15" t="s">
        <v>32</v>
      </c>
      <c r="E28" s="19">
        <v>6808</v>
      </c>
    </row>
    <row r="29" spans="1:5" ht="15" thickBot="1" x14ac:dyDescent="0.35">
      <c r="A29" s="15" t="s">
        <v>2</v>
      </c>
      <c r="B29" s="15" t="s">
        <v>49</v>
      </c>
      <c r="C29" s="16">
        <v>2020</v>
      </c>
      <c r="D29" s="15" t="s">
        <v>32</v>
      </c>
      <c r="E29" s="19">
        <v>6720</v>
      </c>
    </row>
    <row r="30" spans="1:5" ht="15" thickBot="1" x14ac:dyDescent="0.35">
      <c r="A30" s="15" t="s">
        <v>3</v>
      </c>
      <c r="B30" s="15" t="s">
        <v>50</v>
      </c>
      <c r="C30" s="16">
        <v>2020</v>
      </c>
      <c r="D30" s="15" t="s">
        <v>32</v>
      </c>
      <c r="E30" s="19">
        <v>8507</v>
      </c>
    </row>
    <row r="31" spans="1:5" ht="15" thickBot="1" x14ac:dyDescent="0.35">
      <c r="A31" s="15" t="s">
        <v>4</v>
      </c>
      <c r="B31" s="15" t="s">
        <v>47</v>
      </c>
      <c r="C31" s="16">
        <v>2021</v>
      </c>
      <c r="D31" s="15" t="s">
        <v>32</v>
      </c>
      <c r="E31" s="19">
        <v>9275</v>
      </c>
    </row>
    <row r="32" spans="1:5" ht="15" thickBot="1" x14ac:dyDescent="0.35">
      <c r="A32" s="15" t="s">
        <v>5</v>
      </c>
      <c r="B32" s="15" t="s">
        <v>48</v>
      </c>
      <c r="C32" s="16">
        <v>2021</v>
      </c>
      <c r="D32" s="15" t="s">
        <v>32</v>
      </c>
      <c r="E32" s="19">
        <v>9056</v>
      </c>
    </row>
    <row r="33" spans="1:5" ht="15" thickBot="1" x14ac:dyDescent="0.35">
      <c r="A33" s="15" t="s">
        <v>6</v>
      </c>
      <c r="B33" s="15" t="s">
        <v>49</v>
      </c>
      <c r="C33" s="16">
        <v>2021</v>
      </c>
      <c r="D33" s="15" t="s">
        <v>32</v>
      </c>
      <c r="E33" s="19">
        <v>9029</v>
      </c>
    </row>
    <row r="34" spans="1:5" ht="15" thickBot="1" x14ac:dyDescent="0.35">
      <c r="A34" s="15" t="s">
        <v>7</v>
      </c>
      <c r="B34" s="15" t="s">
        <v>50</v>
      </c>
      <c r="C34" s="16">
        <v>2021</v>
      </c>
      <c r="D34" s="15" t="s">
        <v>32</v>
      </c>
      <c r="E34" s="19">
        <v>11141</v>
      </c>
    </row>
    <row r="35" spans="1:5" ht="15" thickBot="1" x14ac:dyDescent="0.35">
      <c r="A35" s="15" t="s">
        <v>8</v>
      </c>
      <c r="B35" s="15" t="s">
        <v>47</v>
      </c>
      <c r="C35" s="16">
        <v>2022</v>
      </c>
      <c r="D35" s="15" t="s">
        <v>32</v>
      </c>
      <c r="E35" s="19">
        <v>11748</v>
      </c>
    </row>
    <row r="36" spans="1:5" ht="15" thickBot="1" x14ac:dyDescent="0.35">
      <c r="A36" s="15" t="s">
        <v>9</v>
      </c>
      <c r="B36" s="15" t="s">
        <v>48</v>
      </c>
      <c r="C36" s="16">
        <v>2022</v>
      </c>
      <c r="D36" s="15" t="s">
        <v>32</v>
      </c>
      <c r="E36" s="19">
        <v>11218</v>
      </c>
    </row>
    <row r="37" spans="1:5" ht="15" thickBot="1" x14ac:dyDescent="0.35">
      <c r="A37" s="15" t="s">
        <v>10</v>
      </c>
      <c r="B37" s="15" t="s">
        <v>49</v>
      </c>
      <c r="C37" s="16">
        <v>2022</v>
      </c>
      <c r="D37" s="15" t="s">
        <v>32</v>
      </c>
      <c r="E37" s="19">
        <v>10619</v>
      </c>
    </row>
    <row r="38" spans="1:5" ht="15" thickBot="1" x14ac:dyDescent="0.35">
      <c r="A38" s="15" t="s">
        <v>11</v>
      </c>
      <c r="B38" s="15" t="s">
        <v>50</v>
      </c>
      <c r="C38" s="16">
        <v>2022</v>
      </c>
      <c r="D38" s="15" t="s">
        <v>32</v>
      </c>
      <c r="E38" s="19">
        <v>11146</v>
      </c>
    </row>
    <row r="39" spans="1:5" ht="15" thickBot="1" x14ac:dyDescent="0.35">
      <c r="A39" s="15" t="s">
        <v>12</v>
      </c>
      <c r="B39" s="15" t="s">
        <v>47</v>
      </c>
      <c r="C39" s="16">
        <v>2023</v>
      </c>
      <c r="D39" s="15" t="s">
        <v>32</v>
      </c>
      <c r="E39" s="19">
        <v>11635</v>
      </c>
    </row>
    <row r="40" spans="1:5" ht="15" thickBot="1" x14ac:dyDescent="0.35">
      <c r="A40" s="15" t="s">
        <v>13</v>
      </c>
      <c r="B40" s="15" t="s">
        <v>48</v>
      </c>
      <c r="C40" s="16">
        <v>2023</v>
      </c>
      <c r="D40" s="15" t="s">
        <v>32</v>
      </c>
      <c r="E40" s="19">
        <v>13061</v>
      </c>
    </row>
    <row r="41" spans="1:5" ht="15" thickBot="1" x14ac:dyDescent="0.35">
      <c r="A41" s="15" t="s">
        <v>14</v>
      </c>
      <c r="B41" s="15" t="s">
        <v>49</v>
      </c>
      <c r="C41" s="16">
        <v>2023</v>
      </c>
      <c r="D41" s="15" t="s">
        <v>32</v>
      </c>
      <c r="E41" s="19">
        <v>11678</v>
      </c>
    </row>
    <row r="42" spans="1:5" ht="15" thickBot="1" x14ac:dyDescent="0.35">
      <c r="A42" s="15" t="s">
        <v>15</v>
      </c>
      <c r="B42" s="15" t="s">
        <v>50</v>
      </c>
      <c r="C42" s="16">
        <v>2023</v>
      </c>
      <c r="D42" s="15" t="s">
        <v>32</v>
      </c>
      <c r="E42" s="19">
        <v>13484</v>
      </c>
    </row>
    <row r="43" spans="1:5" ht="15" thickBot="1" x14ac:dyDescent="0.35">
      <c r="A43" s="15" t="s">
        <v>16</v>
      </c>
      <c r="B43" s="15" t="s">
        <v>47</v>
      </c>
      <c r="C43" s="16">
        <v>2024</v>
      </c>
      <c r="D43" s="15" t="s">
        <v>32</v>
      </c>
      <c r="E43" s="19">
        <v>12952</v>
      </c>
    </row>
    <row r="44" spans="1:5" ht="15" thickBot="1" x14ac:dyDescent="0.35">
      <c r="A44" s="15" t="s">
        <v>17</v>
      </c>
      <c r="B44" s="15" t="s">
        <v>48</v>
      </c>
      <c r="C44" s="16">
        <v>2024</v>
      </c>
      <c r="D44" s="15" t="s">
        <v>32</v>
      </c>
      <c r="E44" s="19">
        <v>13258</v>
      </c>
    </row>
    <row r="45" spans="1:5" ht="15" thickBot="1" x14ac:dyDescent="0.35">
      <c r="A45" s="15" t="s">
        <v>18</v>
      </c>
      <c r="B45" s="15" t="s">
        <v>49</v>
      </c>
      <c r="C45" s="16">
        <v>2024</v>
      </c>
      <c r="D45" s="15" t="s">
        <v>32</v>
      </c>
      <c r="E45" s="19">
        <v>14405</v>
      </c>
    </row>
    <row r="46" spans="1:5" ht="15" thickBot="1" x14ac:dyDescent="0.35">
      <c r="A46" s="15" t="s">
        <v>19</v>
      </c>
      <c r="B46" s="15" t="s">
        <v>50</v>
      </c>
      <c r="C46" s="16">
        <v>2024</v>
      </c>
      <c r="D46" s="15" t="s">
        <v>32</v>
      </c>
      <c r="E46" s="19">
        <v>14292</v>
      </c>
    </row>
    <row r="47" spans="1:5" ht="15" thickBot="1" x14ac:dyDescent="0.35">
      <c r="A47" s="15" t="s">
        <v>20</v>
      </c>
      <c r="B47" s="15" t="s">
        <v>47</v>
      </c>
      <c r="C47" s="16">
        <v>2025</v>
      </c>
      <c r="D47" s="15" t="s">
        <v>32</v>
      </c>
      <c r="E47" s="19">
        <v>17882</v>
      </c>
    </row>
    <row r="48" spans="1:5" ht="15" thickBot="1" x14ac:dyDescent="0.35">
      <c r="A48" s="15" t="s">
        <v>21</v>
      </c>
      <c r="B48" s="15" t="s">
        <v>48</v>
      </c>
      <c r="C48" s="16">
        <v>2025</v>
      </c>
      <c r="D48" s="15" t="s">
        <v>32</v>
      </c>
      <c r="E48" s="19">
        <v>20603</v>
      </c>
    </row>
    <row r="49" spans="1:5" ht="15" thickBot="1" x14ac:dyDescent="0.35">
      <c r="A49" s="15" t="s">
        <v>22</v>
      </c>
      <c r="B49" s="15" t="s">
        <v>49</v>
      </c>
      <c r="C49" s="16">
        <v>2025</v>
      </c>
      <c r="D49" s="15" t="s">
        <v>32</v>
      </c>
      <c r="E49" s="19">
        <v>21019</v>
      </c>
    </row>
    <row r="50" spans="1:5" ht="15" thickBot="1" x14ac:dyDescent="0.35">
      <c r="A50" s="15" t="s">
        <v>23</v>
      </c>
      <c r="B50" s="15" t="s">
        <v>50</v>
      </c>
      <c r="C50" s="16">
        <v>2025</v>
      </c>
      <c r="D50" s="15" t="s">
        <v>32</v>
      </c>
      <c r="E50" s="19">
        <v>20221</v>
      </c>
    </row>
    <row r="51" spans="1:5" ht="15" thickBot="1" x14ac:dyDescent="0.35">
      <c r="A51" s="15" t="s">
        <v>24</v>
      </c>
      <c r="B51" s="15" t="s">
        <v>47</v>
      </c>
      <c r="C51" s="16">
        <v>2026</v>
      </c>
      <c r="D51" s="15" t="s">
        <v>32</v>
      </c>
      <c r="E51" s="19">
        <v>20614</v>
      </c>
    </row>
    <row r="52" spans="1:5" ht="15" thickBot="1" x14ac:dyDescent="0.35">
      <c r="A52" s="15" t="s">
        <v>0</v>
      </c>
      <c r="B52" s="15" t="s">
        <v>47</v>
      </c>
      <c r="C52" s="16">
        <v>2020</v>
      </c>
      <c r="D52" s="15" t="s">
        <v>33</v>
      </c>
      <c r="E52" s="19">
        <v>753</v>
      </c>
    </row>
    <row r="53" spans="1:5" ht="15" thickBot="1" x14ac:dyDescent="0.35">
      <c r="A53" s="15" t="s">
        <v>1</v>
      </c>
      <c r="B53" s="15" t="s">
        <v>48</v>
      </c>
      <c r="C53" s="16">
        <v>2020</v>
      </c>
      <c r="D53" s="15" t="s">
        <v>33</v>
      </c>
      <c r="E53" s="19">
        <v>4598</v>
      </c>
    </row>
    <row r="54" spans="1:5" ht="15" thickBot="1" x14ac:dyDescent="0.35">
      <c r="A54" s="15" t="s">
        <v>2</v>
      </c>
      <c r="B54" s="15" t="s">
        <v>49</v>
      </c>
      <c r="C54" s="16">
        <v>2020</v>
      </c>
      <c r="D54" s="15" t="s">
        <v>33</v>
      </c>
      <c r="E54" s="19">
        <v>5607</v>
      </c>
    </row>
    <row r="55" spans="1:5" ht="15" thickBot="1" x14ac:dyDescent="0.35">
      <c r="A55" s="15" t="s">
        <v>3</v>
      </c>
      <c r="B55" s="15" t="s">
        <v>50</v>
      </c>
      <c r="C55" s="16">
        <v>2020</v>
      </c>
      <c r="D55" s="15" t="s">
        <v>33</v>
      </c>
      <c r="E55" s="19">
        <v>4197</v>
      </c>
    </row>
    <row r="56" spans="1:5" ht="15" thickBot="1" x14ac:dyDescent="0.35">
      <c r="A56" s="15" t="s">
        <v>4</v>
      </c>
      <c r="B56" s="15" t="s">
        <v>47</v>
      </c>
      <c r="C56" s="16">
        <v>2021</v>
      </c>
      <c r="D56" s="15" t="s">
        <v>33</v>
      </c>
      <c r="E56" s="19">
        <v>5035</v>
      </c>
    </row>
    <row r="57" spans="1:5" ht="15" thickBot="1" x14ac:dyDescent="0.35">
      <c r="A57" s="15" t="s">
        <v>5</v>
      </c>
      <c r="B57" s="15" t="s">
        <v>48</v>
      </c>
      <c r="C57" s="16">
        <v>2021</v>
      </c>
      <c r="D57" s="15" t="s">
        <v>33</v>
      </c>
      <c r="E57" s="19">
        <v>4833</v>
      </c>
    </row>
    <row r="58" spans="1:5" ht="15" thickBot="1" x14ac:dyDescent="0.35">
      <c r="A58" s="15" t="s">
        <v>6</v>
      </c>
      <c r="B58" s="15" t="s">
        <v>49</v>
      </c>
      <c r="C58" s="16">
        <v>2021</v>
      </c>
      <c r="D58" s="15" t="s">
        <v>33</v>
      </c>
      <c r="E58" s="19">
        <v>6695</v>
      </c>
    </row>
    <row r="59" spans="1:5" ht="15" thickBot="1" x14ac:dyDescent="0.35">
      <c r="A59" s="15" t="s">
        <v>7</v>
      </c>
      <c r="B59" s="15" t="s">
        <v>50</v>
      </c>
      <c r="C59" s="16">
        <v>2021</v>
      </c>
      <c r="D59" s="15" t="s">
        <v>33</v>
      </c>
      <c r="E59" s="19">
        <v>8095</v>
      </c>
    </row>
    <row r="60" spans="1:5" ht="15" thickBot="1" x14ac:dyDescent="0.35">
      <c r="A60" s="15" t="s">
        <v>8</v>
      </c>
      <c r="B60" s="15" t="s">
        <v>47</v>
      </c>
      <c r="C60" s="16">
        <v>2022</v>
      </c>
      <c r="D60" s="15" t="s">
        <v>33</v>
      </c>
      <c r="E60" s="19">
        <v>8080</v>
      </c>
    </row>
    <row r="61" spans="1:5" ht="15" thickBot="1" x14ac:dyDescent="0.35">
      <c r="A61" s="15" t="s">
        <v>9</v>
      </c>
      <c r="B61" s="15" t="s">
        <v>48</v>
      </c>
      <c r="C61" s="16">
        <v>2022</v>
      </c>
      <c r="D61" s="15" t="s">
        <v>33</v>
      </c>
      <c r="E61" s="19">
        <v>8036</v>
      </c>
    </row>
    <row r="62" spans="1:5" ht="15" thickBot="1" x14ac:dyDescent="0.35">
      <c r="A62" s="15" t="s">
        <v>10</v>
      </c>
      <c r="B62" s="15" t="s">
        <v>49</v>
      </c>
      <c r="C62" s="16">
        <v>2022</v>
      </c>
      <c r="D62" s="15" t="s">
        <v>33</v>
      </c>
      <c r="E62" s="19">
        <v>8192</v>
      </c>
    </row>
    <row r="63" spans="1:5" ht="15" thickBot="1" x14ac:dyDescent="0.35">
      <c r="A63" s="15" t="s">
        <v>11</v>
      </c>
      <c r="B63" s="15" t="s">
        <v>50</v>
      </c>
      <c r="C63" s="16">
        <v>2022</v>
      </c>
      <c r="D63" s="15" t="s">
        <v>33</v>
      </c>
      <c r="E63" s="19">
        <v>8410</v>
      </c>
    </row>
    <row r="64" spans="1:5" ht="15" thickBot="1" x14ac:dyDescent="0.35">
      <c r="A64" s="15" t="s">
        <v>12</v>
      </c>
      <c r="B64" s="15" t="s">
        <v>47</v>
      </c>
      <c r="C64" s="16">
        <v>2023</v>
      </c>
      <c r="D64" s="15" t="s">
        <v>33</v>
      </c>
      <c r="E64" s="19">
        <v>9397</v>
      </c>
    </row>
    <row r="65" spans="1:5" ht="15" thickBot="1" x14ac:dyDescent="0.35">
      <c r="A65" s="15" t="s">
        <v>13</v>
      </c>
      <c r="B65" s="15" t="s">
        <v>48</v>
      </c>
      <c r="C65" s="16">
        <v>2023</v>
      </c>
      <c r="D65" s="15" t="s">
        <v>33</v>
      </c>
      <c r="E65" s="19">
        <v>9809</v>
      </c>
    </row>
    <row r="66" spans="1:5" ht="15" thickBot="1" x14ac:dyDescent="0.35">
      <c r="A66" s="15" t="s">
        <v>14</v>
      </c>
      <c r="B66" s="15" t="s">
        <v>49</v>
      </c>
      <c r="C66" s="16">
        <v>2023</v>
      </c>
      <c r="D66" s="15" t="s">
        <v>33</v>
      </c>
      <c r="E66" s="19">
        <v>10612</v>
      </c>
    </row>
    <row r="67" spans="1:5" ht="15" thickBot="1" x14ac:dyDescent="0.35">
      <c r="A67" s="15" t="s">
        <v>15</v>
      </c>
      <c r="B67" s="15" t="s">
        <v>50</v>
      </c>
      <c r="C67" s="16">
        <v>2023</v>
      </c>
      <c r="D67" s="15" t="s">
        <v>33</v>
      </c>
      <c r="E67" s="19">
        <v>10819</v>
      </c>
    </row>
    <row r="68" spans="1:5" ht="15" thickBot="1" x14ac:dyDescent="0.35">
      <c r="A68" s="15" t="s">
        <v>16</v>
      </c>
      <c r="B68" s="15" t="s">
        <v>47</v>
      </c>
      <c r="C68" s="16">
        <v>2024</v>
      </c>
      <c r="D68" s="15" t="s">
        <v>33</v>
      </c>
      <c r="E68" s="19">
        <v>12755</v>
      </c>
    </row>
    <row r="69" spans="1:5" ht="15" thickBot="1" x14ac:dyDescent="0.35">
      <c r="A69" s="15" t="s">
        <v>17</v>
      </c>
      <c r="B69" s="15" t="s">
        <v>48</v>
      </c>
      <c r="C69" s="16">
        <v>2024</v>
      </c>
      <c r="D69" s="15" t="s">
        <v>33</v>
      </c>
      <c r="E69" s="19">
        <v>10698</v>
      </c>
    </row>
    <row r="70" spans="1:5" ht="15" thickBot="1" x14ac:dyDescent="0.35">
      <c r="A70" s="15" t="s">
        <v>18</v>
      </c>
      <c r="B70" s="15" t="s">
        <v>49</v>
      </c>
      <c r="C70" s="16">
        <v>2024</v>
      </c>
      <c r="D70" s="15" t="s">
        <v>33</v>
      </c>
      <c r="E70" s="19">
        <v>10772</v>
      </c>
    </row>
    <row r="71" spans="1:5" ht="15" thickBot="1" x14ac:dyDescent="0.35">
      <c r="A71" s="15" t="s">
        <v>19</v>
      </c>
      <c r="B71" s="15" t="s">
        <v>50</v>
      </c>
      <c r="C71" s="16">
        <v>2024</v>
      </c>
      <c r="D71" s="15" t="s">
        <v>33</v>
      </c>
      <c r="E71" s="19">
        <v>11415</v>
      </c>
    </row>
    <row r="72" spans="1:5" ht="15" thickBot="1" x14ac:dyDescent="0.35">
      <c r="A72" s="15" t="s">
        <v>20</v>
      </c>
      <c r="B72" s="15" t="s">
        <v>47</v>
      </c>
      <c r="C72" s="16">
        <v>2025</v>
      </c>
      <c r="D72" s="15" t="s">
        <v>33</v>
      </c>
      <c r="E72" s="19">
        <v>11986</v>
      </c>
    </row>
    <row r="73" spans="1:5" ht="15" thickBot="1" x14ac:dyDescent="0.35">
      <c r="A73" s="15" t="s">
        <v>21</v>
      </c>
      <c r="B73" s="15" t="s">
        <v>48</v>
      </c>
      <c r="C73" s="16">
        <v>2025</v>
      </c>
      <c r="D73" s="15" t="s">
        <v>33</v>
      </c>
      <c r="E73" s="19">
        <v>10088</v>
      </c>
    </row>
    <row r="74" spans="1:5" ht="15" thickBot="1" x14ac:dyDescent="0.35">
      <c r="A74" s="15" t="s">
        <v>22</v>
      </c>
      <c r="B74" s="15" t="s">
        <v>49</v>
      </c>
      <c r="C74" s="16">
        <v>2025</v>
      </c>
      <c r="D74" s="15" t="s">
        <v>33</v>
      </c>
      <c r="E74" s="19">
        <v>9649</v>
      </c>
    </row>
    <row r="75" spans="1:5" ht="15" thickBot="1" x14ac:dyDescent="0.35">
      <c r="A75" s="15" t="s">
        <v>23</v>
      </c>
      <c r="B75" s="15" t="s">
        <v>50</v>
      </c>
      <c r="C75" s="16">
        <v>2025</v>
      </c>
      <c r="D75" s="15" t="s">
        <v>33</v>
      </c>
      <c r="E75" s="19">
        <v>10283</v>
      </c>
    </row>
    <row r="76" spans="1:5" ht="15" thickBot="1" x14ac:dyDescent="0.35">
      <c r="A76" s="15" t="s">
        <v>24</v>
      </c>
      <c r="B76" s="15" t="s">
        <v>47</v>
      </c>
      <c r="C76" s="16">
        <v>2026</v>
      </c>
      <c r="D76" s="15" t="s">
        <v>33</v>
      </c>
      <c r="E76" s="19">
        <v>11317</v>
      </c>
    </row>
    <row r="77" spans="1:5" ht="15" thickBot="1" x14ac:dyDescent="0.35">
      <c r="A77" s="15" t="s">
        <v>0</v>
      </c>
      <c r="B77" s="15" t="s">
        <v>47</v>
      </c>
      <c r="C77" s="16">
        <v>2020</v>
      </c>
      <c r="D77" s="15" t="s">
        <v>34</v>
      </c>
      <c r="E77" s="19">
        <v>0</v>
      </c>
    </row>
    <row r="78" spans="1:5" ht="15" thickBot="1" x14ac:dyDescent="0.35">
      <c r="A78" s="15" t="s">
        <v>1</v>
      </c>
      <c r="B78" s="15" t="s">
        <v>48</v>
      </c>
      <c r="C78" s="16">
        <v>2020</v>
      </c>
      <c r="D78" s="15" t="s">
        <v>34</v>
      </c>
      <c r="E78" s="19">
        <v>0</v>
      </c>
    </row>
    <row r="79" spans="1:5" ht="15" thickBot="1" x14ac:dyDescent="0.35">
      <c r="A79" s="15" t="s">
        <v>2</v>
      </c>
      <c r="B79" s="15" t="s">
        <v>49</v>
      </c>
      <c r="C79" s="16">
        <v>2020</v>
      </c>
      <c r="D79" s="15" t="s">
        <v>34</v>
      </c>
      <c r="E79" s="19">
        <v>0</v>
      </c>
    </row>
    <row r="80" spans="1:5" ht="15" thickBot="1" x14ac:dyDescent="0.35">
      <c r="A80" s="15" t="s">
        <v>3</v>
      </c>
      <c r="B80" s="15" t="s">
        <v>50</v>
      </c>
      <c r="C80" s="16">
        <v>2020</v>
      </c>
      <c r="D80" s="15" t="s">
        <v>34</v>
      </c>
      <c r="E80" s="19">
        <v>0</v>
      </c>
    </row>
    <row r="81" spans="1:5" ht="15" thickBot="1" x14ac:dyDescent="0.35">
      <c r="A81" s="15" t="s">
        <v>4</v>
      </c>
      <c r="B81" s="15" t="s">
        <v>47</v>
      </c>
      <c r="C81" s="16">
        <v>2021</v>
      </c>
      <c r="D81" s="15" t="s">
        <v>34</v>
      </c>
      <c r="E81" s="19">
        <v>0</v>
      </c>
    </row>
    <row r="82" spans="1:5" ht="15" thickBot="1" x14ac:dyDescent="0.35">
      <c r="A82" s="15" t="s">
        <v>5</v>
      </c>
      <c r="B82" s="15" t="s">
        <v>48</v>
      </c>
      <c r="C82" s="16">
        <v>2021</v>
      </c>
      <c r="D82" s="15" t="s">
        <v>34</v>
      </c>
      <c r="E82" s="19">
        <v>0</v>
      </c>
    </row>
    <row r="83" spans="1:5" ht="15" thickBot="1" x14ac:dyDescent="0.35">
      <c r="A83" s="15" t="s">
        <v>6</v>
      </c>
      <c r="B83" s="15" t="s">
        <v>49</v>
      </c>
      <c r="C83" s="16">
        <v>2021</v>
      </c>
      <c r="D83" s="15" t="s">
        <v>34</v>
      </c>
      <c r="E83" s="19">
        <v>0</v>
      </c>
    </row>
    <row r="84" spans="1:5" ht="15" thickBot="1" x14ac:dyDescent="0.35">
      <c r="A84" s="15" t="s">
        <v>7</v>
      </c>
      <c r="B84" s="15" t="s">
        <v>50</v>
      </c>
      <c r="C84" s="16">
        <v>2021</v>
      </c>
      <c r="D84" s="15" t="s">
        <v>34</v>
      </c>
      <c r="E84" s="19">
        <v>6836</v>
      </c>
    </row>
    <row r="85" spans="1:5" ht="15" thickBot="1" x14ac:dyDescent="0.35">
      <c r="A85" s="15" t="s">
        <v>8</v>
      </c>
      <c r="B85" s="15" t="s">
        <v>47</v>
      </c>
      <c r="C85" s="16">
        <v>2022</v>
      </c>
      <c r="D85" s="15" t="s">
        <v>34</v>
      </c>
      <c r="E85" s="19">
        <v>0</v>
      </c>
    </row>
    <row r="86" spans="1:5" ht="15" thickBot="1" x14ac:dyDescent="0.35">
      <c r="A86" s="15" t="s">
        <v>9</v>
      </c>
      <c r="B86" s="15" t="s">
        <v>48</v>
      </c>
      <c r="C86" s="16">
        <v>2022</v>
      </c>
      <c r="D86" s="15" t="s">
        <v>34</v>
      </c>
      <c r="E86" s="19">
        <v>0</v>
      </c>
    </row>
    <row r="87" spans="1:5" ht="15" thickBot="1" x14ac:dyDescent="0.35">
      <c r="A87" s="15" t="s">
        <v>10</v>
      </c>
      <c r="B87" s="15" t="s">
        <v>49</v>
      </c>
      <c r="C87" s="16">
        <v>2022</v>
      </c>
      <c r="D87" s="15" t="s">
        <v>34</v>
      </c>
      <c r="E87" s="19">
        <v>0</v>
      </c>
    </row>
    <row r="88" spans="1:5" ht="15" thickBot="1" x14ac:dyDescent="0.35">
      <c r="A88" s="15" t="s">
        <v>11</v>
      </c>
      <c r="B88" s="15" t="s">
        <v>50</v>
      </c>
      <c r="C88" s="16">
        <v>2022</v>
      </c>
      <c r="D88" s="15" t="s">
        <v>34</v>
      </c>
      <c r="E88" s="19">
        <v>5855</v>
      </c>
    </row>
    <row r="89" spans="1:5" ht="15" thickBot="1" x14ac:dyDescent="0.35">
      <c r="A89" s="15" t="s">
        <v>12</v>
      </c>
      <c r="B89" s="15" t="s">
        <v>47</v>
      </c>
      <c r="C89" s="16">
        <v>2023</v>
      </c>
      <c r="D89" s="15" t="s">
        <v>34</v>
      </c>
      <c r="E89" s="19">
        <v>7852</v>
      </c>
    </row>
    <row r="90" spans="1:5" ht="15" thickBot="1" x14ac:dyDescent="0.35">
      <c r="A90" s="15" t="s">
        <v>13</v>
      </c>
      <c r="B90" s="15" t="s">
        <v>48</v>
      </c>
      <c r="C90" s="16">
        <v>2023</v>
      </c>
      <c r="D90" s="15" t="s">
        <v>34</v>
      </c>
      <c r="E90" s="19">
        <v>8675</v>
      </c>
    </row>
    <row r="91" spans="1:5" ht="15" thickBot="1" x14ac:dyDescent="0.35">
      <c r="A91" s="15" t="s">
        <v>14</v>
      </c>
      <c r="B91" s="15" t="s">
        <v>49</v>
      </c>
      <c r="C91" s="16">
        <v>2023</v>
      </c>
      <c r="D91" s="15" t="s">
        <v>34</v>
      </c>
      <c r="E91" s="19">
        <v>9233</v>
      </c>
    </row>
    <row r="92" spans="1:5" ht="15" thickBot="1" x14ac:dyDescent="0.35">
      <c r="A92" s="15" t="s">
        <v>15</v>
      </c>
      <c r="B92" s="15" t="s">
        <v>50</v>
      </c>
      <c r="C92" s="16">
        <v>2023</v>
      </c>
      <c r="D92" s="15" t="s">
        <v>34</v>
      </c>
      <c r="E92" s="19">
        <v>8913</v>
      </c>
    </row>
    <row r="93" spans="1:5" ht="15" thickBot="1" x14ac:dyDescent="0.35">
      <c r="A93" s="15" t="s">
        <v>16</v>
      </c>
      <c r="B93" s="15" t="s">
        <v>47</v>
      </c>
      <c r="C93" s="16">
        <v>2024</v>
      </c>
      <c r="D93" s="15" t="s">
        <v>34</v>
      </c>
      <c r="E93" s="19">
        <v>9924</v>
      </c>
    </row>
    <row r="94" spans="1:5" ht="15" thickBot="1" x14ac:dyDescent="0.35">
      <c r="A94" s="15" t="s">
        <v>17</v>
      </c>
      <c r="B94" s="15" t="s">
        <v>48</v>
      </c>
      <c r="C94" s="16">
        <v>2024</v>
      </c>
      <c r="D94" s="15" t="s">
        <v>34</v>
      </c>
      <c r="E94" s="19">
        <v>10176</v>
      </c>
    </row>
    <row r="95" spans="1:5" ht="15" thickBot="1" x14ac:dyDescent="0.35">
      <c r="A95" s="15" t="s">
        <v>18</v>
      </c>
      <c r="B95" s="15" t="s">
        <v>49</v>
      </c>
      <c r="C95" s="16">
        <v>2024</v>
      </c>
      <c r="D95" s="15" t="s">
        <v>34</v>
      </c>
      <c r="E95" s="19">
        <v>9411</v>
      </c>
    </row>
    <row r="96" spans="1:5" ht="15" thickBot="1" x14ac:dyDescent="0.35">
      <c r="A96" s="15" t="s">
        <v>19</v>
      </c>
      <c r="B96" s="15" t="s">
        <v>50</v>
      </c>
      <c r="C96" s="16">
        <v>2024</v>
      </c>
      <c r="D96" s="15" t="s">
        <v>34</v>
      </c>
      <c r="E96" s="19">
        <v>9142</v>
      </c>
    </row>
    <row r="97" spans="1:5" ht="15" thickBot="1" x14ac:dyDescent="0.35">
      <c r="A97" s="15" t="s">
        <v>20</v>
      </c>
      <c r="B97" s="15" t="s">
        <v>47</v>
      </c>
      <c r="C97" s="16">
        <v>2025</v>
      </c>
      <c r="D97" s="15" t="s">
        <v>34</v>
      </c>
      <c r="E97" s="19">
        <v>9442</v>
      </c>
    </row>
    <row r="98" spans="1:5" ht="15" thickBot="1" x14ac:dyDescent="0.35">
      <c r="A98" s="15" t="s">
        <v>21</v>
      </c>
      <c r="B98" s="15" t="s">
        <v>48</v>
      </c>
      <c r="C98" s="16">
        <v>2025</v>
      </c>
      <c r="D98" s="15" t="s">
        <v>34</v>
      </c>
      <c r="E98" s="19">
        <v>10390</v>
      </c>
    </row>
    <row r="99" spans="1:5" ht="15" thickBot="1" x14ac:dyDescent="0.35">
      <c r="A99" s="15" t="s">
        <v>22</v>
      </c>
      <c r="B99" s="15" t="s">
        <v>49</v>
      </c>
      <c r="C99" s="16">
        <v>2025</v>
      </c>
      <c r="D99" s="15" t="s">
        <v>34</v>
      </c>
      <c r="E99" s="19">
        <v>11096</v>
      </c>
    </row>
    <row r="100" spans="1:5" ht="15" thickBot="1" x14ac:dyDescent="0.35">
      <c r="A100" s="15" t="s">
        <v>23</v>
      </c>
      <c r="B100" s="15" t="s">
        <v>50</v>
      </c>
      <c r="C100" s="16">
        <v>2025</v>
      </c>
      <c r="D100" s="15" t="s">
        <v>34</v>
      </c>
      <c r="E100" s="19">
        <v>9551</v>
      </c>
    </row>
    <row r="101" spans="1:5" ht="15" thickBot="1" x14ac:dyDescent="0.35">
      <c r="A101" s="15" t="s">
        <v>24</v>
      </c>
      <c r="B101" s="15" t="s">
        <v>47</v>
      </c>
      <c r="C101" s="16">
        <v>2026</v>
      </c>
      <c r="D101" s="15" t="s">
        <v>34</v>
      </c>
      <c r="E101" s="19">
        <v>8446</v>
      </c>
    </row>
    <row r="102" spans="1:5" ht="15" thickBot="1" x14ac:dyDescent="0.35">
      <c r="A102" s="15" t="s">
        <v>0</v>
      </c>
      <c r="B102" s="15" t="s">
        <v>47</v>
      </c>
      <c r="C102" s="16">
        <v>2020</v>
      </c>
      <c r="D102" s="15" t="s">
        <v>68</v>
      </c>
      <c r="E102" s="19">
        <v>180</v>
      </c>
    </row>
    <row r="103" spans="1:5" ht="15" thickBot="1" x14ac:dyDescent="0.35">
      <c r="A103" s="15" t="s">
        <v>1</v>
      </c>
      <c r="B103" s="15" t="s">
        <v>48</v>
      </c>
      <c r="C103" s="16">
        <v>2020</v>
      </c>
      <c r="D103" s="15" t="s">
        <v>68</v>
      </c>
      <c r="E103" s="19">
        <v>331</v>
      </c>
    </row>
    <row r="104" spans="1:5" ht="15" thickBot="1" x14ac:dyDescent="0.35">
      <c r="A104" s="15" t="s">
        <v>2</v>
      </c>
      <c r="B104" s="15" t="s">
        <v>49</v>
      </c>
      <c r="C104" s="16">
        <v>2020</v>
      </c>
      <c r="D104" s="15" t="s">
        <v>68</v>
      </c>
      <c r="E104" s="19">
        <v>661</v>
      </c>
    </row>
    <row r="105" spans="1:5" ht="15" thickBot="1" x14ac:dyDescent="0.35">
      <c r="A105" s="15" t="s">
        <v>3</v>
      </c>
      <c r="B105" s="15" t="s">
        <v>50</v>
      </c>
      <c r="C105" s="16">
        <v>2020</v>
      </c>
      <c r="D105" s="15" t="s">
        <v>68</v>
      </c>
      <c r="E105" s="19">
        <v>825</v>
      </c>
    </row>
    <row r="106" spans="1:5" ht="15" thickBot="1" x14ac:dyDescent="0.35">
      <c r="A106" s="15" t="s">
        <v>4</v>
      </c>
      <c r="B106" s="15" t="s">
        <v>47</v>
      </c>
      <c r="C106" s="16">
        <v>2021</v>
      </c>
      <c r="D106" s="15" t="s">
        <v>68</v>
      </c>
      <c r="E106" s="19">
        <v>995</v>
      </c>
    </row>
    <row r="107" spans="1:5" ht="15" thickBot="1" x14ac:dyDescent="0.35">
      <c r="A107" s="15" t="s">
        <v>5</v>
      </c>
      <c r="B107" s="15" t="s">
        <v>48</v>
      </c>
      <c r="C107" s="16">
        <v>2021</v>
      </c>
      <c r="D107" s="15" t="s">
        <v>68</v>
      </c>
      <c r="E107" s="19">
        <v>1412</v>
      </c>
    </row>
    <row r="108" spans="1:5" ht="15" thickBot="1" x14ac:dyDescent="0.35">
      <c r="A108" s="15" t="s">
        <v>6</v>
      </c>
      <c r="B108" s="15" t="s">
        <v>49</v>
      </c>
      <c r="C108" s="16">
        <v>2021</v>
      </c>
      <c r="D108" s="15" t="s">
        <v>68</v>
      </c>
      <c r="E108" s="19">
        <v>1841</v>
      </c>
    </row>
    <row r="109" spans="1:5" ht="15" thickBot="1" x14ac:dyDescent="0.35">
      <c r="A109" s="15" t="s">
        <v>7</v>
      </c>
      <c r="B109" s="15" t="s">
        <v>50</v>
      </c>
      <c r="C109" s="16">
        <v>2021</v>
      </c>
      <c r="D109" s="15" t="s">
        <v>68</v>
      </c>
      <c r="E109" s="19">
        <v>-4169</v>
      </c>
    </row>
    <row r="110" spans="1:5" ht="15" thickBot="1" x14ac:dyDescent="0.35">
      <c r="A110" s="15" t="s">
        <v>8</v>
      </c>
      <c r="B110" s="15" t="s">
        <v>47</v>
      </c>
      <c r="C110" s="16">
        <v>2022</v>
      </c>
      <c r="D110" s="15" t="s">
        <v>68</v>
      </c>
      <c r="E110" s="19">
        <v>3382</v>
      </c>
    </row>
    <row r="111" spans="1:5" ht="15" thickBot="1" x14ac:dyDescent="0.35">
      <c r="A111" s="15" t="s">
        <v>9</v>
      </c>
      <c r="B111" s="15" t="s">
        <v>48</v>
      </c>
      <c r="C111" s="16">
        <v>2022</v>
      </c>
      <c r="D111" s="15" t="s">
        <v>68</v>
      </c>
      <c r="E111" s="19">
        <v>3938</v>
      </c>
    </row>
    <row r="112" spans="1:5" ht="15" thickBot="1" x14ac:dyDescent="0.35">
      <c r="A112" s="15" t="s">
        <v>10</v>
      </c>
      <c r="B112" s="15" t="s">
        <v>49</v>
      </c>
      <c r="C112" s="16">
        <v>2022</v>
      </c>
      <c r="D112" s="15" t="s">
        <v>68</v>
      </c>
      <c r="E112" s="19">
        <v>5082</v>
      </c>
    </row>
    <row r="113" spans="1:5" ht="15" thickBot="1" x14ac:dyDescent="0.35">
      <c r="A113" s="15" t="s">
        <v>11</v>
      </c>
      <c r="B113" s="15" t="s">
        <v>50</v>
      </c>
      <c r="C113" s="16">
        <v>2022</v>
      </c>
      <c r="D113" s="15" t="s">
        <v>68</v>
      </c>
      <c r="E113" s="19">
        <v>282</v>
      </c>
    </row>
    <row r="114" spans="1:5" ht="15" thickBot="1" x14ac:dyDescent="0.35">
      <c r="A114" s="15" t="s">
        <v>12</v>
      </c>
      <c r="B114" s="15" t="s">
        <v>47</v>
      </c>
      <c r="C114" s="16">
        <v>2023</v>
      </c>
      <c r="D114" s="15" t="s">
        <v>68</v>
      </c>
      <c r="E114" s="19">
        <v>17</v>
      </c>
    </row>
    <row r="115" spans="1:5" ht="15" thickBot="1" x14ac:dyDescent="0.35">
      <c r="A115" s="15" t="s">
        <v>13</v>
      </c>
      <c r="B115" s="15" t="s">
        <v>48</v>
      </c>
      <c r="C115" s="16">
        <v>2023</v>
      </c>
      <c r="D115" s="15" t="s">
        <v>68</v>
      </c>
      <c r="E115" s="19">
        <v>136</v>
      </c>
    </row>
    <row r="116" spans="1:5" ht="15" thickBot="1" x14ac:dyDescent="0.35">
      <c r="A116" s="15" t="s">
        <v>14</v>
      </c>
      <c r="B116" s="15" t="s">
        <v>49</v>
      </c>
      <c r="C116" s="16">
        <v>2023</v>
      </c>
      <c r="D116" s="15" t="s">
        <v>68</v>
      </c>
      <c r="E116" s="19">
        <v>214</v>
      </c>
    </row>
    <row r="117" spans="1:5" ht="15" thickBot="1" x14ac:dyDescent="0.35">
      <c r="A117" s="15" t="s">
        <v>15</v>
      </c>
      <c r="B117" s="15" t="s">
        <v>50</v>
      </c>
      <c r="C117" s="16">
        <v>2023</v>
      </c>
      <c r="D117" s="15" t="s">
        <v>68</v>
      </c>
      <c r="E117" s="19">
        <v>315</v>
      </c>
    </row>
    <row r="118" spans="1:5" ht="15" thickBot="1" x14ac:dyDescent="0.35">
      <c r="A118" s="15" t="s">
        <v>16</v>
      </c>
      <c r="B118" s="15" t="s">
        <v>47</v>
      </c>
      <c r="C118" s="16">
        <v>2024</v>
      </c>
      <c r="D118" s="15" t="s">
        <v>68</v>
      </c>
      <c r="E118" s="19">
        <v>234</v>
      </c>
    </row>
    <row r="119" spans="1:5" ht="15" thickBot="1" x14ac:dyDescent="0.35">
      <c r="A119" s="15" t="s">
        <v>17</v>
      </c>
      <c r="B119" s="15" t="s">
        <v>48</v>
      </c>
      <c r="C119" s="16">
        <v>2024</v>
      </c>
      <c r="D119" s="15" t="s">
        <v>68</v>
      </c>
      <c r="E119" s="19">
        <v>286</v>
      </c>
    </row>
    <row r="120" spans="1:5" ht="15" thickBot="1" x14ac:dyDescent="0.35">
      <c r="A120" s="15" t="s">
        <v>18</v>
      </c>
      <c r="B120" s="15" t="s">
        <v>49</v>
      </c>
      <c r="C120" s="16">
        <v>2024</v>
      </c>
      <c r="D120" s="15" t="s">
        <v>68</v>
      </c>
      <c r="E120" s="19">
        <v>389</v>
      </c>
    </row>
    <row r="121" spans="1:5" ht="15" thickBot="1" x14ac:dyDescent="0.35">
      <c r="A121" s="15" t="s">
        <v>19</v>
      </c>
      <c r="B121" s="15" t="s">
        <v>50</v>
      </c>
      <c r="C121" s="16">
        <v>2024</v>
      </c>
      <c r="D121" s="15" t="s">
        <v>68</v>
      </c>
      <c r="E121" s="19">
        <v>384</v>
      </c>
    </row>
    <row r="122" spans="1:5" ht="15" thickBot="1" x14ac:dyDescent="0.35">
      <c r="A122" s="15" t="s">
        <v>20</v>
      </c>
      <c r="B122" s="15" t="s">
        <v>47</v>
      </c>
      <c r="C122" s="16">
        <v>2025</v>
      </c>
      <c r="D122" s="15" t="s">
        <v>68</v>
      </c>
      <c r="E122" s="19">
        <v>446</v>
      </c>
    </row>
    <row r="123" spans="1:5" ht="15" thickBot="1" x14ac:dyDescent="0.35">
      <c r="A123" s="15" t="s">
        <v>21</v>
      </c>
      <c r="B123" s="15" t="s">
        <v>48</v>
      </c>
      <c r="C123" s="16">
        <v>2025</v>
      </c>
      <c r="D123" s="15" t="s">
        <v>68</v>
      </c>
      <c r="E123" s="19">
        <v>506</v>
      </c>
    </row>
    <row r="124" spans="1:5" ht="15" thickBot="1" x14ac:dyDescent="0.35">
      <c r="A124" s="15" t="s">
        <v>22</v>
      </c>
      <c r="B124" s="15" t="s">
        <v>49</v>
      </c>
      <c r="C124" s="16">
        <v>2025</v>
      </c>
      <c r="D124" s="15" t="s">
        <v>68</v>
      </c>
      <c r="E124" s="19">
        <v>458</v>
      </c>
    </row>
    <row r="125" spans="1:5" ht="15" thickBot="1" x14ac:dyDescent="0.35">
      <c r="A125" s="15" t="s">
        <v>23</v>
      </c>
      <c r="B125" s="15" t="s">
        <v>50</v>
      </c>
      <c r="C125" s="16">
        <v>2025</v>
      </c>
      <c r="D125" s="15" t="s">
        <v>68</v>
      </c>
      <c r="E125" s="19">
        <v>527</v>
      </c>
    </row>
    <row r="126" spans="1:5" x14ac:dyDescent="0.3">
      <c r="A126" s="17" t="s">
        <v>24</v>
      </c>
      <c r="B126" s="17" t="s">
        <v>47</v>
      </c>
      <c r="C126" s="18">
        <v>2026</v>
      </c>
      <c r="D126" s="17" t="s">
        <v>68</v>
      </c>
      <c r="E126" s="20">
        <v>682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B8ED-781D-4987-B37B-8EDC92D93B4D}">
  <dimension ref="A1:I26"/>
  <sheetViews>
    <sheetView topLeftCell="F1" zoomScale="56" zoomScaleNormal="130" workbookViewId="0">
      <selection activeCell="R27" sqref="R27"/>
    </sheetView>
  </sheetViews>
  <sheetFormatPr defaultRowHeight="14.4" x14ac:dyDescent="0.3"/>
  <cols>
    <col min="1" max="1" width="12.33203125" customWidth="1"/>
    <col min="2" max="2" width="9.33203125" customWidth="1"/>
    <col min="3" max="3" width="6.5546875" customWidth="1"/>
    <col min="4" max="4" width="26.21875" customWidth="1"/>
    <col min="5" max="5" width="20.33203125" customWidth="1"/>
    <col min="7" max="7" width="13.88671875" bestFit="1" customWidth="1"/>
    <col min="8" max="8" width="27" bestFit="1" customWidth="1"/>
    <col min="9" max="9" width="25" bestFit="1" customWidth="1"/>
  </cols>
  <sheetData>
    <row r="1" spans="1:9" x14ac:dyDescent="0.3">
      <c r="A1" s="22" t="s">
        <v>25</v>
      </c>
      <c r="B1" s="22" t="s">
        <v>52</v>
      </c>
      <c r="C1" s="22" t="s">
        <v>51</v>
      </c>
      <c r="D1" s="23" t="s">
        <v>75</v>
      </c>
      <c r="E1" s="23" t="s">
        <v>76</v>
      </c>
      <c r="G1" s="5" t="s">
        <v>52</v>
      </c>
      <c r="H1" t="s">
        <v>47</v>
      </c>
    </row>
    <row r="2" spans="1:9" x14ac:dyDescent="0.3">
      <c r="A2" t="s">
        <v>0</v>
      </c>
      <c r="B2" t="s">
        <v>47</v>
      </c>
      <c r="C2">
        <v>2020</v>
      </c>
      <c r="D2" s="9">
        <v>28112</v>
      </c>
      <c r="E2" s="24">
        <v>5511</v>
      </c>
    </row>
    <row r="3" spans="1:9" x14ac:dyDescent="0.3">
      <c r="A3" t="s">
        <v>1</v>
      </c>
      <c r="B3" t="s">
        <v>48</v>
      </c>
      <c r="C3">
        <v>2020</v>
      </c>
      <c r="D3" s="9">
        <v>40011</v>
      </c>
      <c r="E3" s="24">
        <v>8625</v>
      </c>
      <c r="G3" s="5" t="s">
        <v>64</v>
      </c>
      <c r="H3" t="s">
        <v>82</v>
      </c>
      <c r="I3" t="s">
        <v>81</v>
      </c>
    </row>
    <row r="4" spans="1:9" x14ac:dyDescent="0.3">
      <c r="A4" t="s">
        <v>2</v>
      </c>
      <c r="B4" t="s">
        <v>49</v>
      </c>
      <c r="C4">
        <v>2020</v>
      </c>
      <c r="D4" s="9">
        <v>45305</v>
      </c>
      <c r="E4" s="24">
        <v>11142</v>
      </c>
      <c r="G4" s="6" t="s">
        <v>0</v>
      </c>
      <c r="H4" s="12">
        <v>28112</v>
      </c>
      <c r="I4" s="12">
        <v>5511</v>
      </c>
    </row>
    <row r="5" spans="1:9" x14ac:dyDescent="0.3">
      <c r="A5" t="s">
        <v>3</v>
      </c>
      <c r="B5" t="s">
        <v>50</v>
      </c>
      <c r="C5">
        <v>2020</v>
      </c>
      <c r="D5" s="9">
        <v>48268</v>
      </c>
      <c r="E5" s="24">
        <v>9705</v>
      </c>
      <c r="G5" s="6" t="s">
        <v>4</v>
      </c>
      <c r="H5" s="12">
        <v>55360</v>
      </c>
      <c r="I5" s="12">
        <v>19773</v>
      </c>
    </row>
    <row r="6" spans="1:9" x14ac:dyDescent="0.3">
      <c r="A6" t="s">
        <v>4</v>
      </c>
      <c r="B6" t="s">
        <v>47</v>
      </c>
      <c r="C6">
        <v>2021</v>
      </c>
      <c r="D6" s="9">
        <v>55360</v>
      </c>
      <c r="E6" s="24">
        <v>19773</v>
      </c>
      <c r="G6" s="6" t="s">
        <v>8</v>
      </c>
      <c r="H6" s="12">
        <v>81220</v>
      </c>
      <c r="I6" s="12">
        <v>14940</v>
      </c>
    </row>
    <row r="7" spans="1:9" x14ac:dyDescent="0.3">
      <c r="A7" t="s">
        <v>5</v>
      </c>
      <c r="B7" t="s">
        <v>48</v>
      </c>
      <c r="C7">
        <v>2021</v>
      </c>
      <c r="D7" s="9">
        <v>58803</v>
      </c>
      <c r="E7" s="24">
        <v>9619</v>
      </c>
      <c r="G7" s="6" t="s">
        <v>12</v>
      </c>
      <c r="H7" s="12">
        <v>115661</v>
      </c>
      <c r="I7" s="12">
        <v>16601</v>
      </c>
    </row>
    <row r="8" spans="1:9" x14ac:dyDescent="0.3">
      <c r="A8" t="s">
        <v>6</v>
      </c>
      <c r="B8" t="s">
        <v>49</v>
      </c>
      <c r="C8">
        <v>2021</v>
      </c>
      <c r="D8" s="9">
        <v>63595</v>
      </c>
      <c r="E8" s="24">
        <v>15267</v>
      </c>
      <c r="G8" s="6" t="s">
        <v>16</v>
      </c>
      <c r="H8" s="12">
        <v>167553</v>
      </c>
      <c r="I8" s="12">
        <v>19931</v>
      </c>
    </row>
    <row r="9" spans="1:9" x14ac:dyDescent="0.3">
      <c r="A9" t="s">
        <v>7</v>
      </c>
      <c r="B9" t="s">
        <v>50</v>
      </c>
      <c r="C9">
        <v>2021</v>
      </c>
      <c r="D9" s="9">
        <v>73014</v>
      </c>
      <c r="E9" s="24">
        <v>14511</v>
      </c>
      <c r="G9" s="6" t="s">
        <v>20</v>
      </c>
      <c r="H9" s="12">
        <v>230743</v>
      </c>
      <c r="I9" s="12">
        <v>26662</v>
      </c>
    </row>
    <row r="10" spans="1:9" x14ac:dyDescent="0.3">
      <c r="A10" t="s">
        <v>8</v>
      </c>
      <c r="B10" t="s">
        <v>47</v>
      </c>
      <c r="C10">
        <v>2022</v>
      </c>
      <c r="D10" s="9">
        <v>81220</v>
      </c>
      <c r="E10" s="24">
        <v>14940</v>
      </c>
      <c r="G10" s="6" t="s">
        <v>24</v>
      </c>
      <c r="H10" s="12">
        <v>291967</v>
      </c>
      <c r="I10" s="12">
        <v>39249</v>
      </c>
    </row>
    <row r="11" spans="1:9" x14ac:dyDescent="0.3">
      <c r="A11" t="s">
        <v>9</v>
      </c>
      <c r="B11" t="s">
        <v>48</v>
      </c>
      <c r="C11">
        <v>2022</v>
      </c>
      <c r="D11" s="9">
        <v>88386</v>
      </c>
      <c r="E11" s="24">
        <v>15277</v>
      </c>
      <c r="G11" s="6" t="s">
        <v>54</v>
      </c>
      <c r="H11" s="12">
        <v>970616</v>
      </c>
      <c r="I11" s="12">
        <v>142667</v>
      </c>
    </row>
    <row r="12" spans="1:9" x14ac:dyDescent="0.3">
      <c r="A12" t="s">
        <v>10</v>
      </c>
      <c r="B12" t="s">
        <v>49</v>
      </c>
      <c r="C12">
        <v>2022</v>
      </c>
      <c r="D12" s="9">
        <v>96065</v>
      </c>
      <c r="E12" s="24">
        <v>17721</v>
      </c>
    </row>
    <row r="13" spans="1:9" x14ac:dyDescent="0.3">
      <c r="A13" t="s">
        <v>11</v>
      </c>
      <c r="B13" t="s">
        <v>50</v>
      </c>
      <c r="C13">
        <v>2022</v>
      </c>
      <c r="D13" s="9">
        <v>103824</v>
      </c>
      <c r="E13" s="24">
        <v>19029</v>
      </c>
    </row>
    <row r="14" spans="1:9" x14ac:dyDescent="0.3">
      <c r="A14" t="s">
        <v>12</v>
      </c>
      <c r="B14" t="s">
        <v>47</v>
      </c>
      <c r="C14">
        <v>2023</v>
      </c>
      <c r="D14" s="9">
        <v>115661</v>
      </c>
      <c r="E14" s="24">
        <v>16601</v>
      </c>
    </row>
    <row r="15" spans="1:9" x14ac:dyDescent="0.3">
      <c r="A15" t="s">
        <v>13</v>
      </c>
      <c r="B15" t="s">
        <v>48</v>
      </c>
      <c r="C15">
        <v>2023</v>
      </c>
      <c r="D15" s="9">
        <v>126839</v>
      </c>
      <c r="E15" s="24">
        <v>17734</v>
      </c>
    </row>
    <row r="16" spans="1:9" x14ac:dyDescent="0.3">
      <c r="A16" t="s">
        <v>14</v>
      </c>
      <c r="B16" t="s">
        <v>49</v>
      </c>
      <c r="C16">
        <v>2023</v>
      </c>
      <c r="D16" s="9">
        <v>137624</v>
      </c>
      <c r="E16" s="24">
        <v>22335</v>
      </c>
    </row>
    <row r="17" spans="1:5" x14ac:dyDescent="0.3">
      <c r="A17" t="s">
        <v>15</v>
      </c>
      <c r="B17" t="s">
        <v>50</v>
      </c>
      <c r="C17">
        <v>2023</v>
      </c>
      <c r="D17" s="9">
        <v>150985</v>
      </c>
      <c r="E17" s="24">
        <v>19118</v>
      </c>
    </row>
    <row r="18" spans="1:5" x14ac:dyDescent="0.3">
      <c r="A18" t="s">
        <v>16</v>
      </c>
      <c r="B18" t="s">
        <v>47</v>
      </c>
      <c r="C18">
        <v>2024</v>
      </c>
      <c r="D18" s="9">
        <v>167553</v>
      </c>
      <c r="E18" s="24">
        <v>19931</v>
      </c>
    </row>
    <row r="19" spans="1:5" x14ac:dyDescent="0.3">
      <c r="A19" t="s">
        <v>17</v>
      </c>
      <c r="B19" t="s">
        <v>48</v>
      </c>
      <c r="C19">
        <v>2024</v>
      </c>
      <c r="D19" s="9">
        <v>178327</v>
      </c>
      <c r="E19" s="24">
        <v>20174</v>
      </c>
    </row>
    <row r="20" spans="1:5" x14ac:dyDescent="0.3">
      <c r="A20" t="s">
        <v>18</v>
      </c>
      <c r="B20" t="s">
        <v>49</v>
      </c>
      <c r="C20">
        <v>2024</v>
      </c>
      <c r="D20" s="9">
        <v>192594</v>
      </c>
      <c r="E20" s="24">
        <v>25574</v>
      </c>
    </row>
    <row r="21" spans="1:5" x14ac:dyDescent="0.3">
      <c r="A21" t="s">
        <v>19</v>
      </c>
      <c r="B21" t="s">
        <v>50</v>
      </c>
      <c r="C21">
        <v>2024</v>
      </c>
      <c r="D21" s="9">
        <v>209550</v>
      </c>
      <c r="E21" s="24">
        <v>24815</v>
      </c>
    </row>
    <row r="22" spans="1:5" x14ac:dyDescent="0.3">
      <c r="A22" t="s">
        <v>20</v>
      </c>
      <c r="B22" t="s">
        <v>47</v>
      </c>
      <c r="C22">
        <v>2025</v>
      </c>
      <c r="D22" s="9">
        <v>230743</v>
      </c>
      <c r="E22" s="24">
        <v>26662</v>
      </c>
    </row>
    <row r="23" spans="1:5" x14ac:dyDescent="0.3">
      <c r="A23" t="s">
        <v>21</v>
      </c>
      <c r="B23" t="s">
        <v>48</v>
      </c>
      <c r="C23">
        <v>2025</v>
      </c>
      <c r="D23" s="9">
        <v>252265</v>
      </c>
      <c r="E23" s="24">
        <v>29563</v>
      </c>
    </row>
    <row r="24" spans="1:5" x14ac:dyDescent="0.3">
      <c r="A24" t="s">
        <v>22</v>
      </c>
      <c r="B24" t="s">
        <v>49</v>
      </c>
      <c r="C24">
        <v>2025</v>
      </c>
      <c r="D24" s="9">
        <v>271713</v>
      </c>
      <c r="E24" s="24">
        <v>35081</v>
      </c>
    </row>
    <row r="25" spans="1:5" x14ac:dyDescent="0.3">
      <c r="A25" t="s">
        <v>23</v>
      </c>
      <c r="B25" t="s">
        <v>50</v>
      </c>
      <c r="C25">
        <v>2025</v>
      </c>
      <c r="D25" s="9">
        <v>282868</v>
      </c>
      <c r="E25" s="24">
        <v>34371</v>
      </c>
    </row>
    <row r="26" spans="1:5" x14ac:dyDescent="0.3">
      <c r="A26" t="s">
        <v>24</v>
      </c>
      <c r="B26" t="s">
        <v>47</v>
      </c>
      <c r="C26">
        <v>2026</v>
      </c>
      <c r="D26" s="9">
        <v>291967</v>
      </c>
      <c r="E26" s="24">
        <v>39249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20C4-0019-4841-B80E-6379CC199351}">
  <dimension ref="A1:K55"/>
  <sheetViews>
    <sheetView zoomScale="49" zoomScaleNormal="44" workbookViewId="0">
      <selection activeCell="U19" sqref="U19"/>
    </sheetView>
  </sheetViews>
  <sheetFormatPr defaultRowHeight="14.4" x14ac:dyDescent="0.3"/>
  <cols>
    <col min="1" max="1" width="21.109375" bestFit="1" customWidth="1"/>
    <col min="2" max="2" width="11.5546875" bestFit="1" customWidth="1"/>
    <col min="3" max="3" width="22.33203125" bestFit="1" customWidth="1"/>
    <col min="4" max="4" width="28" customWidth="1"/>
    <col min="5" max="5" width="14.109375" bestFit="1" customWidth="1"/>
    <col min="6" max="6" width="12.44140625" bestFit="1" customWidth="1"/>
    <col min="7" max="7" width="12" bestFit="1" customWidth="1"/>
    <col min="8" max="8" width="17.6640625" bestFit="1" customWidth="1"/>
    <col min="9" max="9" width="18.88671875" bestFit="1" customWidth="1"/>
    <col min="10" max="10" width="13.33203125" bestFit="1" customWidth="1"/>
    <col min="11" max="11" width="12.109375" bestFit="1" customWidth="1"/>
    <col min="14" max="14" width="18" bestFit="1" customWidth="1"/>
    <col min="15" max="15" width="29.21875" bestFit="1" customWidth="1"/>
  </cols>
  <sheetData>
    <row r="1" spans="1:11" x14ac:dyDescent="0.3">
      <c r="A1" t="s">
        <v>25</v>
      </c>
      <c r="B1" t="s">
        <v>52</v>
      </c>
      <c r="C1" t="s">
        <v>51</v>
      </c>
      <c r="D1" t="s">
        <v>38</v>
      </c>
      <c r="E1" t="s">
        <v>71</v>
      </c>
      <c r="F1" t="s">
        <v>78</v>
      </c>
      <c r="G1" t="s">
        <v>79</v>
      </c>
    </row>
    <row r="2" spans="1:11" x14ac:dyDescent="0.3">
      <c r="A2" t="s">
        <v>0</v>
      </c>
      <c r="B2" t="s">
        <v>47</v>
      </c>
      <c r="C2">
        <v>2020</v>
      </c>
      <c r="D2" s="9">
        <v>5511</v>
      </c>
      <c r="E2">
        <v>1.1000000000000001</v>
      </c>
      <c r="F2" s="25" t="s">
        <v>77</v>
      </c>
      <c r="G2" t="e">
        <f t="shared" ref="G2:G26" si="0">(D2 * 1000) / (F2 * 1000000)</f>
        <v>#VALUE!</v>
      </c>
    </row>
    <row r="3" spans="1:11" x14ac:dyDescent="0.3">
      <c r="A3" t="s">
        <v>1</v>
      </c>
      <c r="B3" t="s">
        <v>48</v>
      </c>
      <c r="C3">
        <v>2020</v>
      </c>
      <c r="D3" s="9">
        <v>8625</v>
      </c>
      <c r="E3">
        <v>1.3</v>
      </c>
      <c r="F3" s="25">
        <f>Table29[[#This Row],[Paid Subscribers]]-E2</f>
        <v>0.19999999999999996</v>
      </c>
      <c r="G3">
        <f t="shared" si="0"/>
        <v>43.125000000000014</v>
      </c>
      <c r="J3" s="5" t="s">
        <v>52</v>
      </c>
      <c r="K3" t="s">
        <v>47</v>
      </c>
    </row>
    <row r="4" spans="1:11" x14ac:dyDescent="0.3">
      <c r="A4" t="s">
        <v>2</v>
      </c>
      <c r="B4" t="s">
        <v>49</v>
      </c>
      <c r="C4">
        <v>2020</v>
      </c>
      <c r="D4" s="9">
        <v>11142</v>
      </c>
      <c r="E4">
        <v>1.5</v>
      </c>
      <c r="F4" s="25">
        <f>Table29[[#This Row],[Paid Subscribers]]-E3</f>
        <v>0.19999999999999996</v>
      </c>
      <c r="G4">
        <f t="shared" si="0"/>
        <v>55.710000000000015</v>
      </c>
    </row>
    <row r="5" spans="1:11" x14ac:dyDescent="0.3">
      <c r="A5" t="s">
        <v>3</v>
      </c>
      <c r="B5" t="s">
        <v>50</v>
      </c>
      <c r="C5">
        <v>2020</v>
      </c>
      <c r="D5" s="9">
        <v>9705</v>
      </c>
      <c r="E5">
        <v>1.6</v>
      </c>
      <c r="F5" s="25">
        <f>Table29[[#This Row],[Paid Subscribers]]-E4</f>
        <v>0.10000000000000009</v>
      </c>
      <c r="G5">
        <f t="shared" si="0"/>
        <v>97.049999999999912</v>
      </c>
      <c r="J5" s="5" t="s">
        <v>64</v>
      </c>
      <c r="K5" t="s">
        <v>80</v>
      </c>
    </row>
    <row r="6" spans="1:11" x14ac:dyDescent="0.3">
      <c r="A6" t="s">
        <v>4</v>
      </c>
      <c r="B6" t="s">
        <v>47</v>
      </c>
      <c r="C6">
        <v>2021</v>
      </c>
      <c r="D6" s="9">
        <v>19773</v>
      </c>
      <c r="E6">
        <v>1.8</v>
      </c>
      <c r="F6" s="25">
        <f>Table29[[#This Row],[Paid Subscribers]]-E5</f>
        <v>0.19999999999999996</v>
      </c>
      <c r="G6">
        <f t="shared" si="0"/>
        <v>98.865000000000023</v>
      </c>
      <c r="J6" s="6" t="s">
        <v>0</v>
      </c>
      <c r="K6" s="26" t="e">
        <v>#VALUE!</v>
      </c>
    </row>
    <row r="7" spans="1:11" x14ac:dyDescent="0.3">
      <c r="A7" t="s">
        <v>5</v>
      </c>
      <c r="B7" t="s">
        <v>48</v>
      </c>
      <c r="C7">
        <v>2021</v>
      </c>
      <c r="D7" s="9">
        <v>9619</v>
      </c>
      <c r="E7">
        <v>1.9</v>
      </c>
      <c r="F7" s="25">
        <f>Table29[[#This Row],[Paid Subscribers]]-E6</f>
        <v>9.9999999999999867E-2</v>
      </c>
      <c r="G7">
        <f t="shared" si="0"/>
        <v>96.190000000000126</v>
      </c>
      <c r="J7" s="6" t="s">
        <v>4</v>
      </c>
      <c r="K7" s="26">
        <v>98.865000000000023</v>
      </c>
    </row>
    <row r="8" spans="1:11" x14ac:dyDescent="0.3">
      <c r="A8" t="s">
        <v>6</v>
      </c>
      <c r="B8" t="s">
        <v>49</v>
      </c>
      <c r="C8">
        <v>2021</v>
      </c>
      <c r="D8" s="9">
        <v>15267</v>
      </c>
      <c r="E8">
        <v>2.2000000000000002</v>
      </c>
      <c r="F8" s="25">
        <f>Table29[[#This Row],[Paid Subscribers]]-E7</f>
        <v>0.30000000000000027</v>
      </c>
      <c r="G8">
        <f t="shared" si="0"/>
        <v>50.889999999999951</v>
      </c>
      <c r="J8" s="6" t="s">
        <v>8</v>
      </c>
      <c r="K8" s="26">
        <v>37.350000000000009</v>
      </c>
    </row>
    <row r="9" spans="1:11" x14ac:dyDescent="0.3">
      <c r="A9" t="s">
        <v>7</v>
      </c>
      <c r="B9" t="s">
        <v>50</v>
      </c>
      <c r="C9">
        <v>2021</v>
      </c>
      <c r="D9" s="9">
        <v>14511</v>
      </c>
      <c r="E9">
        <v>2.5</v>
      </c>
      <c r="F9" s="25">
        <f>Table29[[#This Row],[Paid Subscribers]]-E8</f>
        <v>0.29999999999999982</v>
      </c>
      <c r="G9">
        <f t="shared" si="0"/>
        <v>48.370000000000026</v>
      </c>
      <c r="J9" s="6" t="s">
        <v>12</v>
      </c>
      <c r="K9" s="26">
        <v>27.668333333333351</v>
      </c>
    </row>
    <row r="10" spans="1:11" x14ac:dyDescent="0.3">
      <c r="A10" t="s">
        <v>8</v>
      </c>
      <c r="B10" t="s">
        <v>47</v>
      </c>
      <c r="C10">
        <v>2022</v>
      </c>
      <c r="D10" s="9">
        <v>14940</v>
      </c>
      <c r="E10">
        <v>2.9</v>
      </c>
      <c r="F10" s="25">
        <f>Table29[[#This Row],[Paid Subscribers]]-E9</f>
        <v>0.39999999999999991</v>
      </c>
      <c r="G10">
        <f t="shared" si="0"/>
        <v>37.350000000000009</v>
      </c>
      <c r="J10" s="6" t="s">
        <v>16</v>
      </c>
      <c r="K10" s="26">
        <v>24.913749999999979</v>
      </c>
    </row>
    <row r="11" spans="1:11" x14ac:dyDescent="0.3">
      <c r="A11" t="s">
        <v>9</v>
      </c>
      <c r="B11" t="s">
        <v>48</v>
      </c>
      <c r="C11">
        <v>2022</v>
      </c>
      <c r="D11" s="9">
        <v>15277</v>
      </c>
      <c r="E11">
        <v>3.3</v>
      </c>
      <c r="F11" s="25">
        <f>Table29[[#This Row],[Paid Subscribers]]-E10</f>
        <v>0.39999999999999991</v>
      </c>
      <c r="G11">
        <f t="shared" si="0"/>
        <v>38.19250000000001</v>
      </c>
      <c r="J11" s="6" t="s">
        <v>20</v>
      </c>
      <c r="K11" s="26">
        <v>33.327499999999972</v>
      </c>
    </row>
    <row r="12" spans="1:11" x14ac:dyDescent="0.3">
      <c r="A12" t="s">
        <v>10</v>
      </c>
      <c r="B12" t="s">
        <v>49</v>
      </c>
      <c r="C12">
        <v>2022</v>
      </c>
      <c r="D12" s="9">
        <v>17721</v>
      </c>
      <c r="E12">
        <v>3.7</v>
      </c>
      <c r="F12" s="25">
        <f>Table29[[#This Row],[Paid Subscribers]]-E11</f>
        <v>0.40000000000000036</v>
      </c>
      <c r="G12">
        <f t="shared" si="0"/>
        <v>44.302499999999959</v>
      </c>
      <c r="J12" s="6" t="s">
        <v>24</v>
      </c>
      <c r="K12" s="26">
        <v>130.8299999999997</v>
      </c>
    </row>
    <row r="13" spans="1:11" x14ac:dyDescent="0.3">
      <c r="A13" t="s">
        <v>11</v>
      </c>
      <c r="B13" t="s">
        <v>50</v>
      </c>
      <c r="C13">
        <v>2022</v>
      </c>
      <c r="D13" s="9">
        <v>19029</v>
      </c>
      <c r="E13">
        <v>4.2</v>
      </c>
      <c r="F13" s="25">
        <f>Table29[[#This Row],[Paid Subscribers]]-E12</f>
        <v>0.5</v>
      </c>
      <c r="G13">
        <f t="shared" si="0"/>
        <v>38.058</v>
      </c>
      <c r="J13" s="6" t="s">
        <v>54</v>
      </c>
      <c r="K13" s="12" t="e">
        <v>#VALUE!</v>
      </c>
    </row>
    <row r="14" spans="1:11" x14ac:dyDescent="0.3">
      <c r="A14" t="s">
        <v>12</v>
      </c>
      <c r="B14" t="s">
        <v>47</v>
      </c>
      <c r="C14">
        <v>2023</v>
      </c>
      <c r="D14" s="9">
        <v>16601</v>
      </c>
      <c r="E14">
        <v>4.8</v>
      </c>
      <c r="F14" s="25">
        <f>Table29[[#This Row],[Paid Subscribers]]-E13</f>
        <v>0.59999999999999964</v>
      </c>
      <c r="G14">
        <f t="shared" si="0"/>
        <v>27.668333333333351</v>
      </c>
    </row>
    <row r="15" spans="1:11" x14ac:dyDescent="0.3">
      <c r="A15" t="s">
        <v>13</v>
      </c>
      <c r="B15" t="s">
        <v>48</v>
      </c>
      <c r="C15">
        <v>2023</v>
      </c>
      <c r="D15" s="9">
        <v>17734</v>
      </c>
      <c r="E15">
        <v>5.2</v>
      </c>
      <c r="F15" s="25">
        <f>Table29[[#This Row],[Paid Subscribers]]-E14</f>
        <v>0.40000000000000036</v>
      </c>
      <c r="G15">
        <f t="shared" si="0"/>
        <v>44.334999999999958</v>
      </c>
    </row>
    <row r="16" spans="1:11" x14ac:dyDescent="0.3">
      <c r="A16" t="s">
        <v>14</v>
      </c>
      <c r="B16" t="s">
        <v>49</v>
      </c>
      <c r="C16">
        <v>2023</v>
      </c>
      <c r="D16" s="9">
        <v>22335</v>
      </c>
      <c r="E16">
        <v>5.8</v>
      </c>
      <c r="F16" s="25">
        <f>Table29[[#This Row],[Paid Subscribers]]-E15</f>
        <v>0.59999999999999964</v>
      </c>
      <c r="G16">
        <f t="shared" si="0"/>
        <v>37.225000000000023</v>
      </c>
    </row>
    <row r="17" spans="1:7" x14ac:dyDescent="0.3">
      <c r="A17" t="s">
        <v>15</v>
      </c>
      <c r="B17" t="s">
        <v>50</v>
      </c>
      <c r="C17">
        <v>2023</v>
      </c>
      <c r="D17" s="9">
        <v>19118</v>
      </c>
      <c r="E17">
        <v>6.6</v>
      </c>
      <c r="F17" s="25">
        <f>Table29[[#This Row],[Paid Subscribers]]-E16</f>
        <v>0.79999999999999982</v>
      </c>
      <c r="G17">
        <f t="shared" si="0"/>
        <v>23.897500000000008</v>
      </c>
    </row>
    <row r="18" spans="1:7" x14ac:dyDescent="0.3">
      <c r="A18" t="s">
        <v>16</v>
      </c>
      <c r="B18" t="s">
        <v>47</v>
      </c>
      <c r="C18">
        <v>2024</v>
      </c>
      <c r="D18" s="9">
        <v>19931</v>
      </c>
      <c r="E18">
        <v>7.4</v>
      </c>
      <c r="F18" s="25">
        <f>Table29[[#This Row],[Paid Subscribers]]-E17</f>
        <v>0.80000000000000071</v>
      </c>
      <c r="G18">
        <f t="shared" si="0"/>
        <v>24.913749999999979</v>
      </c>
    </row>
    <row r="19" spans="1:7" x14ac:dyDescent="0.3">
      <c r="A19" t="s">
        <v>17</v>
      </c>
      <c r="B19" t="s">
        <v>48</v>
      </c>
      <c r="C19">
        <v>2024</v>
      </c>
      <c r="D19" s="9">
        <v>20174</v>
      </c>
      <c r="E19">
        <v>8</v>
      </c>
      <c r="F19" s="25">
        <f>Table29[[#This Row],[Paid Subscribers]]-E18</f>
        <v>0.59999999999999964</v>
      </c>
      <c r="G19">
        <f t="shared" si="0"/>
        <v>33.623333333333356</v>
      </c>
    </row>
    <row r="20" spans="1:7" x14ac:dyDescent="0.3">
      <c r="A20" t="s">
        <v>18</v>
      </c>
      <c r="B20" t="s">
        <v>49</v>
      </c>
      <c r="C20">
        <v>2024</v>
      </c>
      <c r="D20" s="9">
        <v>25574</v>
      </c>
      <c r="E20">
        <v>8.6</v>
      </c>
      <c r="F20" s="25">
        <f>Table29[[#This Row],[Paid Subscribers]]-E19</f>
        <v>0.59999999999999964</v>
      </c>
      <c r="G20">
        <f t="shared" si="0"/>
        <v>42.623333333333356</v>
      </c>
    </row>
    <row r="21" spans="1:7" x14ac:dyDescent="0.3">
      <c r="A21" t="s">
        <v>19</v>
      </c>
      <c r="B21" t="s">
        <v>50</v>
      </c>
      <c r="C21">
        <v>2024</v>
      </c>
      <c r="D21" s="9">
        <v>24815</v>
      </c>
      <c r="E21">
        <v>9.5</v>
      </c>
      <c r="F21" s="25">
        <f>Table29[[#This Row],[Paid Subscribers]]-E20</f>
        <v>0.90000000000000036</v>
      </c>
      <c r="G21">
        <f t="shared" si="0"/>
        <v>27.572222222222212</v>
      </c>
    </row>
    <row r="22" spans="1:7" x14ac:dyDescent="0.3">
      <c r="A22" t="s">
        <v>20</v>
      </c>
      <c r="B22" t="s">
        <v>47</v>
      </c>
      <c r="C22">
        <v>2025</v>
      </c>
      <c r="D22" s="9">
        <v>26662</v>
      </c>
      <c r="E22">
        <v>10.3</v>
      </c>
      <c r="F22" s="25">
        <f>Table29[[#This Row],[Paid Subscribers]]-E21</f>
        <v>0.80000000000000071</v>
      </c>
      <c r="G22">
        <f t="shared" si="0"/>
        <v>33.327499999999972</v>
      </c>
    </row>
    <row r="23" spans="1:7" x14ac:dyDescent="0.3">
      <c r="A23" t="s">
        <v>21</v>
      </c>
      <c r="B23" t="s">
        <v>48</v>
      </c>
      <c r="C23">
        <v>2025</v>
      </c>
      <c r="D23" s="9">
        <v>29563</v>
      </c>
      <c r="E23">
        <v>10.9</v>
      </c>
      <c r="F23" s="25">
        <f>Table29[[#This Row],[Paid Subscribers]]-E22</f>
        <v>0.59999999999999964</v>
      </c>
      <c r="G23">
        <f t="shared" si="0"/>
        <v>49.271666666666697</v>
      </c>
    </row>
    <row r="24" spans="1:7" x14ac:dyDescent="0.3">
      <c r="A24" t="s">
        <v>22</v>
      </c>
      <c r="B24" t="s">
        <v>49</v>
      </c>
      <c r="C24">
        <v>2025</v>
      </c>
      <c r="D24" s="9">
        <v>35081</v>
      </c>
      <c r="E24">
        <v>11.5</v>
      </c>
      <c r="F24" s="25">
        <f>Table29[[#This Row],[Paid Subscribers]]-E23</f>
        <v>0.59999999999999964</v>
      </c>
      <c r="G24">
        <f t="shared" si="0"/>
        <v>58.468333333333369</v>
      </c>
    </row>
    <row r="25" spans="1:7" x14ac:dyDescent="0.3">
      <c r="A25" t="s">
        <v>23</v>
      </c>
      <c r="B25" t="s">
        <v>50</v>
      </c>
      <c r="C25">
        <v>2025</v>
      </c>
      <c r="D25" s="9">
        <v>34371</v>
      </c>
      <c r="E25">
        <v>12.2</v>
      </c>
      <c r="F25" s="25">
        <f>Table29[[#This Row],[Paid Subscribers]]-E24</f>
        <v>0.69999999999999929</v>
      </c>
      <c r="G25">
        <f t="shared" si="0"/>
        <v>49.10142857142862</v>
      </c>
    </row>
    <row r="26" spans="1:7" x14ac:dyDescent="0.3">
      <c r="A26" t="s">
        <v>24</v>
      </c>
      <c r="B26" t="s">
        <v>47</v>
      </c>
      <c r="C26">
        <v>2026</v>
      </c>
      <c r="D26" s="9">
        <v>39249</v>
      </c>
      <c r="E26">
        <v>12.5</v>
      </c>
      <c r="F26" s="25">
        <f>Table29[[#This Row],[Paid Subscribers]]-E25</f>
        <v>0.30000000000000071</v>
      </c>
      <c r="G26">
        <f t="shared" si="0"/>
        <v>130.8299999999997</v>
      </c>
    </row>
    <row r="31" spans="1:7" x14ac:dyDescent="0.3">
      <c r="D31" s="27"/>
      <c r="G31" s="26"/>
    </row>
    <row r="32" spans="1:7" x14ac:dyDescent="0.3">
      <c r="D32" s="27"/>
      <c r="G32" s="26"/>
    </row>
    <row r="33" spans="4:7" x14ac:dyDescent="0.3">
      <c r="D33" s="27"/>
      <c r="G33" s="26"/>
    </row>
    <row r="34" spans="4:7" x14ac:dyDescent="0.3">
      <c r="D34" s="27"/>
      <c r="G34" s="26"/>
    </row>
    <row r="35" spans="4:7" x14ac:dyDescent="0.3">
      <c r="D35" s="27"/>
      <c r="G35" s="26"/>
    </row>
    <row r="36" spans="4:7" x14ac:dyDescent="0.3">
      <c r="D36" s="27"/>
      <c r="G36" s="26"/>
    </row>
    <row r="37" spans="4:7" x14ac:dyDescent="0.3">
      <c r="D37" s="27"/>
      <c r="G37" s="26"/>
    </row>
    <row r="38" spans="4:7" x14ac:dyDescent="0.3">
      <c r="D38" s="27"/>
      <c r="G38" s="26"/>
    </row>
    <row r="39" spans="4:7" x14ac:dyDescent="0.3">
      <c r="D39" s="27"/>
      <c r="G39" s="26"/>
    </row>
    <row r="40" spans="4:7" x14ac:dyDescent="0.3">
      <c r="D40" s="27"/>
      <c r="G40" s="26"/>
    </row>
    <row r="41" spans="4:7" x14ac:dyDescent="0.3">
      <c r="D41" s="27"/>
      <c r="G41" s="26"/>
    </row>
    <row r="42" spans="4:7" x14ac:dyDescent="0.3">
      <c r="D42" s="27"/>
      <c r="G42" s="26"/>
    </row>
    <row r="43" spans="4:7" x14ac:dyDescent="0.3">
      <c r="D43" s="27"/>
      <c r="G43" s="26"/>
    </row>
    <row r="44" spans="4:7" x14ac:dyDescent="0.3">
      <c r="D44" s="27"/>
      <c r="G44" s="26"/>
    </row>
    <row r="45" spans="4:7" x14ac:dyDescent="0.3">
      <c r="D45" s="27"/>
      <c r="G45" s="26"/>
    </row>
    <row r="46" spans="4:7" x14ac:dyDescent="0.3">
      <c r="D46" s="27"/>
      <c r="G46" s="26"/>
    </row>
    <row r="47" spans="4:7" x14ac:dyDescent="0.3">
      <c r="D47" s="27"/>
      <c r="G47" s="26"/>
    </row>
    <row r="48" spans="4:7" x14ac:dyDescent="0.3">
      <c r="D48" s="27"/>
      <c r="G48" s="26"/>
    </row>
    <row r="49" spans="4:7" x14ac:dyDescent="0.3">
      <c r="D49" s="27"/>
      <c r="G49" s="26"/>
    </row>
    <row r="50" spans="4:7" x14ac:dyDescent="0.3">
      <c r="D50" s="27"/>
      <c r="G50" s="26"/>
    </row>
    <row r="51" spans="4:7" x14ac:dyDescent="0.3">
      <c r="D51" s="27"/>
      <c r="G51" s="26"/>
    </row>
    <row r="52" spans="4:7" x14ac:dyDescent="0.3">
      <c r="D52" s="27"/>
      <c r="G52" s="26"/>
    </row>
    <row r="53" spans="4:7" x14ac:dyDescent="0.3">
      <c r="D53" s="27"/>
      <c r="G53" s="26"/>
    </row>
    <row r="54" spans="4:7" x14ac:dyDescent="0.3">
      <c r="D54" s="27"/>
      <c r="G54" s="26"/>
    </row>
    <row r="55" spans="4:7" x14ac:dyDescent="0.3">
      <c r="D55" s="27"/>
      <c r="G55" s="26"/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0F0-A6F2-4640-9D97-4E91AA4D6BA7}">
  <dimension ref="A1:Q26"/>
  <sheetViews>
    <sheetView zoomScale="47" zoomScaleNormal="46" workbookViewId="0">
      <selection activeCell="H52" sqref="H52"/>
    </sheetView>
  </sheetViews>
  <sheetFormatPr defaultRowHeight="14.4" x14ac:dyDescent="0.3"/>
  <cols>
    <col min="1" max="1" width="21.109375" bestFit="1" customWidth="1"/>
    <col min="2" max="2" width="11.5546875" bestFit="1" customWidth="1"/>
    <col min="3" max="3" width="22.33203125" bestFit="1" customWidth="1"/>
    <col min="4" max="4" width="28" customWidth="1"/>
    <col min="5" max="6" width="27.5546875" customWidth="1"/>
    <col min="8" max="8" width="17.6640625" bestFit="1" customWidth="1"/>
    <col min="9" max="9" width="18" bestFit="1" customWidth="1"/>
    <col min="10" max="10" width="7.88671875" bestFit="1" customWidth="1"/>
    <col min="11" max="11" width="29.21875" bestFit="1" customWidth="1"/>
    <col min="12" max="12" width="15.21875" bestFit="1" customWidth="1"/>
    <col min="14" max="14" width="18.88671875" bestFit="1" customWidth="1"/>
    <col min="15" max="15" width="19.44140625" bestFit="1" customWidth="1"/>
    <col min="16" max="16" width="26" bestFit="1" customWidth="1"/>
    <col min="17" max="17" width="29.5546875" bestFit="1" customWidth="1"/>
    <col min="18" max="19" width="9.33203125" bestFit="1" customWidth="1"/>
    <col min="20" max="22" width="10.77734375" bestFit="1" customWidth="1"/>
    <col min="23" max="23" width="15.109375" bestFit="1" customWidth="1"/>
  </cols>
  <sheetData>
    <row r="1" spans="1:17" x14ac:dyDescent="0.3">
      <c r="A1" t="s">
        <v>25</v>
      </c>
      <c r="B1" t="s">
        <v>52</v>
      </c>
      <c r="C1" t="s">
        <v>51</v>
      </c>
      <c r="D1" t="s">
        <v>85</v>
      </c>
      <c r="E1" t="s">
        <v>70</v>
      </c>
      <c r="F1" t="s">
        <v>71</v>
      </c>
      <c r="G1" t="s">
        <v>72</v>
      </c>
    </row>
    <row r="2" spans="1:17" x14ac:dyDescent="0.3">
      <c r="A2" t="s">
        <v>0</v>
      </c>
      <c r="B2" t="s">
        <v>47</v>
      </c>
      <c r="C2">
        <v>2020</v>
      </c>
      <c r="D2" s="39">
        <v>22171</v>
      </c>
      <c r="E2">
        <v>33.5</v>
      </c>
      <c r="F2">
        <v>1.1000000000000001</v>
      </c>
      <c r="G2" s="14">
        <f>Table27[[#This Row],[Paid Subscribers]]/Table27[[#This Row],[MAU]]</f>
        <v>3.2835820895522394E-2</v>
      </c>
      <c r="J2" s="5" t="s">
        <v>52</v>
      </c>
      <c r="K2" t="s">
        <v>47</v>
      </c>
      <c r="O2" s="5" t="s">
        <v>52</v>
      </c>
      <c r="P2" t="s">
        <v>47</v>
      </c>
    </row>
    <row r="3" spans="1:17" x14ac:dyDescent="0.3">
      <c r="A3" t="s">
        <v>1</v>
      </c>
      <c r="B3" t="s">
        <v>48</v>
      </c>
      <c r="C3">
        <v>2020</v>
      </c>
      <c r="D3" s="40">
        <v>28274</v>
      </c>
      <c r="E3">
        <v>39.200000000000003</v>
      </c>
      <c r="F3">
        <v>1.3</v>
      </c>
      <c r="G3" s="14">
        <f>Table27[[#This Row],[Paid Subscribers]]/Table27[[#This Row],[MAU]]</f>
        <v>3.3163265306122451E-2</v>
      </c>
    </row>
    <row r="4" spans="1:17" x14ac:dyDescent="0.3">
      <c r="A4" t="s">
        <v>2</v>
      </c>
      <c r="B4" t="s">
        <v>49</v>
      </c>
      <c r="C4">
        <v>2020</v>
      </c>
      <c r="D4" s="39">
        <v>32317</v>
      </c>
      <c r="E4">
        <v>37</v>
      </c>
      <c r="F4">
        <v>1.5</v>
      </c>
      <c r="G4" s="14">
        <f>Table27[[#This Row],[Paid Subscribers]]/Table27[[#This Row],[MAU]]</f>
        <v>4.0540540540540543E-2</v>
      </c>
      <c r="J4" s="5" t="s">
        <v>64</v>
      </c>
      <c r="K4" t="s">
        <v>73</v>
      </c>
      <c r="L4" t="s">
        <v>84</v>
      </c>
      <c r="O4" s="5" t="s">
        <v>64</v>
      </c>
      <c r="P4" t="s">
        <v>86</v>
      </c>
      <c r="Q4" t="s">
        <v>83</v>
      </c>
    </row>
    <row r="5" spans="1:17" x14ac:dyDescent="0.3">
      <c r="A5" t="s">
        <v>3</v>
      </c>
      <c r="B5" t="s">
        <v>50</v>
      </c>
      <c r="C5">
        <v>2020</v>
      </c>
      <c r="D5" s="40">
        <v>34739</v>
      </c>
      <c r="E5">
        <v>37</v>
      </c>
      <c r="F5">
        <v>1.6</v>
      </c>
      <c r="G5" s="14">
        <f>Table27[[#This Row],[Paid Subscribers]]/Table27[[#This Row],[MAU]]</f>
        <v>4.3243243243243246E-2</v>
      </c>
      <c r="J5" s="6" t="s">
        <v>0</v>
      </c>
      <c r="K5" s="12">
        <v>33.5</v>
      </c>
      <c r="L5" s="14">
        <v>3.2835820895522394E-2</v>
      </c>
      <c r="O5" s="6" t="s">
        <v>0</v>
      </c>
      <c r="P5" s="27">
        <v>22171</v>
      </c>
      <c r="Q5" s="12">
        <v>1.1000000000000001</v>
      </c>
    </row>
    <row r="6" spans="1:17" x14ac:dyDescent="0.3">
      <c r="A6" t="s">
        <v>4</v>
      </c>
      <c r="B6" t="s">
        <v>47</v>
      </c>
      <c r="C6">
        <v>2021</v>
      </c>
      <c r="D6" s="39">
        <v>40055</v>
      </c>
      <c r="E6">
        <v>39.9</v>
      </c>
      <c r="F6">
        <v>1.8</v>
      </c>
      <c r="G6" s="14">
        <f>Table27[[#This Row],[Paid Subscribers]]/Table27[[#This Row],[MAU]]</f>
        <v>4.5112781954887222E-2</v>
      </c>
      <c r="J6" s="6" t="s">
        <v>4</v>
      </c>
      <c r="K6" s="12">
        <v>39.9</v>
      </c>
      <c r="L6" s="14">
        <v>4.5112781954887222E-2</v>
      </c>
      <c r="O6" s="6" t="s">
        <v>4</v>
      </c>
      <c r="P6" s="27">
        <v>40055</v>
      </c>
      <c r="Q6" s="12">
        <v>1.8</v>
      </c>
    </row>
    <row r="7" spans="1:17" x14ac:dyDescent="0.3">
      <c r="A7" t="s">
        <v>5</v>
      </c>
      <c r="B7" t="s">
        <v>48</v>
      </c>
      <c r="C7">
        <v>2021</v>
      </c>
      <c r="D7" s="40">
        <v>43502</v>
      </c>
      <c r="E7">
        <v>37.9</v>
      </c>
      <c r="F7">
        <v>1.9</v>
      </c>
      <c r="G7" s="14">
        <f>Table27[[#This Row],[Paid Subscribers]]/Table27[[#This Row],[MAU]]</f>
        <v>5.0131926121372031E-2</v>
      </c>
      <c r="J7" s="6" t="s">
        <v>8</v>
      </c>
      <c r="K7" s="12">
        <v>49.2</v>
      </c>
      <c r="L7" s="14">
        <v>5.8943089430894303E-2</v>
      </c>
      <c r="O7" s="6" t="s">
        <v>8</v>
      </c>
      <c r="P7" s="27">
        <v>58010</v>
      </c>
      <c r="Q7" s="12">
        <v>2.9</v>
      </c>
    </row>
    <row r="8" spans="1:17" x14ac:dyDescent="0.3">
      <c r="A8" t="s">
        <v>6</v>
      </c>
      <c r="B8" t="s">
        <v>49</v>
      </c>
      <c r="C8">
        <v>2021</v>
      </c>
      <c r="D8" s="39">
        <v>46030</v>
      </c>
      <c r="E8">
        <v>41.7</v>
      </c>
      <c r="F8">
        <v>2.2000000000000002</v>
      </c>
      <c r="G8" s="14">
        <f>Table27[[#This Row],[Paid Subscribers]]/Table27[[#This Row],[MAU]]</f>
        <v>5.2757793764988008E-2</v>
      </c>
      <c r="J8" s="6" t="s">
        <v>12</v>
      </c>
      <c r="K8" s="12">
        <v>72.599999999999994</v>
      </c>
      <c r="L8" s="14">
        <v>6.6115702479338845E-2</v>
      </c>
      <c r="O8" s="6" t="s">
        <v>12</v>
      </c>
      <c r="P8" s="27">
        <v>86185</v>
      </c>
      <c r="Q8" s="12">
        <v>4.8</v>
      </c>
    </row>
    <row r="9" spans="1:17" x14ac:dyDescent="0.3">
      <c r="A9" t="s">
        <v>7</v>
      </c>
      <c r="B9" t="s">
        <v>50</v>
      </c>
      <c r="C9">
        <v>2021</v>
      </c>
      <c r="D9" s="40">
        <v>51111</v>
      </c>
      <c r="E9">
        <v>42.4</v>
      </c>
      <c r="F9">
        <v>2.5</v>
      </c>
      <c r="G9" s="14">
        <f>Table27[[#This Row],[Paid Subscribers]]/Table27[[#This Row],[MAU]]</f>
        <v>5.8962264150943397E-2</v>
      </c>
      <c r="J9" s="6" t="s">
        <v>16</v>
      </c>
      <c r="K9" s="12">
        <v>97.6</v>
      </c>
      <c r="L9" s="14">
        <v>7.5819672131147556E-2</v>
      </c>
      <c r="O9" s="6" t="s">
        <v>16</v>
      </c>
      <c r="P9" s="27">
        <v>131688</v>
      </c>
      <c r="Q9" s="12">
        <v>7.4</v>
      </c>
    </row>
    <row r="10" spans="1:17" x14ac:dyDescent="0.3">
      <c r="A10" t="s">
        <v>8</v>
      </c>
      <c r="B10" t="s">
        <v>47</v>
      </c>
      <c r="C10">
        <v>2022</v>
      </c>
      <c r="D10" s="39">
        <v>58010</v>
      </c>
      <c r="E10">
        <v>49.2</v>
      </c>
      <c r="F10">
        <v>2.9</v>
      </c>
      <c r="G10" s="14">
        <f>Table27[[#This Row],[Paid Subscribers]]/Table27[[#This Row],[MAU]]</f>
        <v>5.8943089430894303E-2</v>
      </c>
      <c r="J10" s="6" t="s">
        <v>20</v>
      </c>
      <c r="K10" s="12">
        <v>130.19999999999999</v>
      </c>
      <c r="L10" s="14">
        <v>7.9109062980030731E-2</v>
      </c>
      <c r="O10" s="6" t="s">
        <v>20</v>
      </c>
      <c r="P10" s="27">
        <v>190987</v>
      </c>
      <c r="Q10" s="12">
        <v>10.3</v>
      </c>
    </row>
    <row r="11" spans="1:17" x14ac:dyDescent="0.3">
      <c r="A11" t="s">
        <v>9</v>
      </c>
      <c r="B11" t="s">
        <v>48</v>
      </c>
      <c r="C11">
        <v>2022</v>
      </c>
      <c r="D11" s="40">
        <v>65194</v>
      </c>
      <c r="E11">
        <v>49.5</v>
      </c>
      <c r="F11">
        <v>3.3</v>
      </c>
      <c r="G11" s="14">
        <f>Table27[[#This Row],[Paid Subscribers]]/Table27[[#This Row],[MAU]]</f>
        <v>6.6666666666666666E-2</v>
      </c>
      <c r="J11" s="6" t="s">
        <v>24</v>
      </c>
      <c r="K11" s="12">
        <v>137.80000000000001</v>
      </c>
      <c r="L11" s="14">
        <v>9.071117561683599E-2</v>
      </c>
      <c r="O11" s="6" t="s">
        <v>24</v>
      </c>
      <c r="P11" s="27">
        <v>250908</v>
      </c>
      <c r="Q11" s="12">
        <v>12.5</v>
      </c>
    </row>
    <row r="12" spans="1:17" x14ac:dyDescent="0.3">
      <c r="A12" t="s">
        <v>10</v>
      </c>
      <c r="B12" t="s">
        <v>49</v>
      </c>
      <c r="C12">
        <v>2022</v>
      </c>
      <c r="D12" s="39">
        <v>72172</v>
      </c>
      <c r="E12">
        <v>56.5</v>
      </c>
      <c r="F12">
        <v>3.7</v>
      </c>
      <c r="G12" s="14">
        <f>Table27[[#This Row],[Paid Subscribers]]/Table27[[#This Row],[MAU]]</f>
        <v>6.5486725663716813E-2</v>
      </c>
      <c r="J12" s="6" t="s">
        <v>54</v>
      </c>
      <c r="K12" s="12">
        <v>560.79999999999995</v>
      </c>
      <c r="L12" s="12">
        <v>0.44864730548865706</v>
      </c>
      <c r="O12" s="6" t="s">
        <v>54</v>
      </c>
      <c r="P12" s="27">
        <v>780004</v>
      </c>
      <c r="Q12" s="12">
        <v>40.799999999999997</v>
      </c>
    </row>
    <row r="13" spans="1:17" x14ac:dyDescent="0.3">
      <c r="A13" t="s">
        <v>11</v>
      </c>
      <c r="B13" t="s">
        <v>50</v>
      </c>
      <c r="C13">
        <v>2022</v>
      </c>
      <c r="D13" s="40">
        <v>78131</v>
      </c>
      <c r="E13">
        <v>60.7</v>
      </c>
      <c r="F13">
        <v>4.2</v>
      </c>
      <c r="G13" s="14">
        <f>Table27[[#This Row],[Paid Subscribers]]/Table27[[#This Row],[MAU]]</f>
        <v>6.919275123558484E-2</v>
      </c>
    </row>
    <row r="14" spans="1:17" x14ac:dyDescent="0.3">
      <c r="A14" t="s">
        <v>12</v>
      </c>
      <c r="B14" t="s">
        <v>47</v>
      </c>
      <c r="C14">
        <v>2023</v>
      </c>
      <c r="D14" s="39">
        <v>86185</v>
      </c>
      <c r="E14">
        <v>72.599999999999994</v>
      </c>
      <c r="F14">
        <v>4.8</v>
      </c>
      <c r="G14" s="14">
        <f>Table27[[#This Row],[Paid Subscribers]]/Table27[[#This Row],[MAU]]</f>
        <v>6.6115702479338845E-2</v>
      </c>
    </row>
    <row r="15" spans="1:17" x14ac:dyDescent="0.3">
      <c r="A15" t="s">
        <v>13</v>
      </c>
      <c r="B15" t="s">
        <v>48</v>
      </c>
      <c r="C15">
        <v>2023</v>
      </c>
      <c r="D15" s="40">
        <v>95158</v>
      </c>
      <c r="E15">
        <v>74.099999999999994</v>
      </c>
      <c r="F15">
        <v>5.2</v>
      </c>
      <c r="G15" s="14">
        <f>Table27[[#This Row],[Paid Subscribers]]/Table27[[#This Row],[MAU]]</f>
        <v>7.0175438596491238E-2</v>
      </c>
    </row>
    <row r="16" spans="1:17" x14ac:dyDescent="0.3">
      <c r="A16" t="s">
        <v>14</v>
      </c>
      <c r="B16" t="s">
        <v>49</v>
      </c>
      <c r="C16">
        <v>2023</v>
      </c>
      <c r="D16" s="39">
        <v>105887</v>
      </c>
      <c r="E16">
        <v>83.1</v>
      </c>
      <c r="F16">
        <v>5.8</v>
      </c>
      <c r="G16" s="14">
        <f>Table27[[#This Row],[Paid Subscribers]]/Table27[[#This Row],[MAU]]</f>
        <v>6.9795427196149215E-2</v>
      </c>
    </row>
    <row r="17" spans="1:7" x14ac:dyDescent="0.3">
      <c r="A17" t="s">
        <v>15</v>
      </c>
      <c r="B17" t="s">
        <v>50</v>
      </c>
      <c r="C17">
        <v>2023</v>
      </c>
      <c r="D17" s="40">
        <v>117454</v>
      </c>
      <c r="E17">
        <v>88.4</v>
      </c>
      <c r="F17">
        <v>6.6</v>
      </c>
      <c r="G17" s="14">
        <f>Table27[[#This Row],[Paid Subscribers]]/Table27[[#This Row],[MAU]]</f>
        <v>7.466063348416288E-2</v>
      </c>
    </row>
    <row r="18" spans="1:7" x14ac:dyDescent="0.3">
      <c r="A18" t="s">
        <v>16</v>
      </c>
      <c r="B18" t="s">
        <v>47</v>
      </c>
      <c r="C18">
        <v>2024</v>
      </c>
      <c r="D18" s="39">
        <v>131688</v>
      </c>
      <c r="E18">
        <v>97.6</v>
      </c>
      <c r="F18">
        <v>7.4</v>
      </c>
      <c r="G18" s="14">
        <f>Table27[[#This Row],[Paid Subscribers]]/Table27[[#This Row],[MAU]]</f>
        <v>7.5819672131147556E-2</v>
      </c>
    </row>
    <row r="19" spans="1:7" x14ac:dyDescent="0.3">
      <c r="A19" t="s">
        <v>17</v>
      </c>
      <c r="B19" t="s">
        <v>48</v>
      </c>
      <c r="C19">
        <v>2024</v>
      </c>
      <c r="D19" s="40">
        <v>143909</v>
      </c>
      <c r="E19">
        <v>103.6</v>
      </c>
      <c r="F19">
        <v>8</v>
      </c>
      <c r="G19" s="14">
        <f>Table27[[#This Row],[Paid Subscribers]]/Table27[[#This Row],[MAU]]</f>
        <v>7.7220077220077218E-2</v>
      </c>
    </row>
    <row r="20" spans="1:7" x14ac:dyDescent="0.3">
      <c r="A20" t="s">
        <v>18</v>
      </c>
      <c r="B20" t="s">
        <v>49</v>
      </c>
      <c r="C20">
        <v>2024</v>
      </c>
      <c r="D20" s="39">
        <v>157617</v>
      </c>
      <c r="E20">
        <v>113.1</v>
      </c>
      <c r="F20">
        <v>8.6</v>
      </c>
      <c r="G20" s="14">
        <f>Table27[[#This Row],[Paid Subscribers]]/Table27[[#This Row],[MAU]]</f>
        <v>7.6038903625110524E-2</v>
      </c>
    </row>
    <row r="21" spans="1:7" x14ac:dyDescent="0.3">
      <c r="A21" t="s">
        <v>19</v>
      </c>
      <c r="B21" t="s">
        <v>50</v>
      </c>
      <c r="C21">
        <v>2024</v>
      </c>
      <c r="D21" s="40">
        <v>174317</v>
      </c>
      <c r="E21">
        <v>116.7</v>
      </c>
      <c r="F21">
        <v>9.5</v>
      </c>
      <c r="G21" s="14">
        <f>Table27[[#This Row],[Paid Subscribers]]/Table27[[#This Row],[MAU]]</f>
        <v>8.1405312767780638E-2</v>
      </c>
    </row>
    <row r="22" spans="1:7" x14ac:dyDescent="0.3">
      <c r="A22" t="s">
        <v>20</v>
      </c>
      <c r="B22" t="s">
        <v>47</v>
      </c>
      <c r="C22">
        <v>2025</v>
      </c>
      <c r="D22" s="39">
        <v>190987</v>
      </c>
      <c r="E22">
        <v>130.19999999999999</v>
      </c>
      <c r="F22">
        <v>10.3</v>
      </c>
      <c r="G22" s="14">
        <f>Table27[[#This Row],[Paid Subscribers]]/Table27[[#This Row],[MAU]]</f>
        <v>7.9109062980030731E-2</v>
      </c>
    </row>
    <row r="23" spans="1:7" x14ac:dyDescent="0.3">
      <c r="A23" t="s">
        <v>21</v>
      </c>
      <c r="B23" t="s">
        <v>48</v>
      </c>
      <c r="C23">
        <v>2025</v>
      </c>
      <c r="D23" s="40">
        <v>210678</v>
      </c>
      <c r="E23">
        <v>128.30000000000001</v>
      </c>
      <c r="F23">
        <v>10.9</v>
      </c>
      <c r="G23" s="14">
        <f>Table27[[#This Row],[Paid Subscribers]]/Table27[[#This Row],[MAU]]</f>
        <v>8.4957131722525323E-2</v>
      </c>
    </row>
    <row r="24" spans="1:7" x14ac:dyDescent="0.3">
      <c r="A24" t="s">
        <v>22</v>
      </c>
      <c r="B24" t="s">
        <v>49</v>
      </c>
      <c r="C24">
        <v>2025</v>
      </c>
      <c r="D24" s="39">
        <v>229491</v>
      </c>
      <c r="E24">
        <v>135.30000000000001</v>
      </c>
      <c r="F24">
        <v>11.5</v>
      </c>
      <c r="G24" s="14">
        <f>Table27[[#This Row],[Paid Subscribers]]/Table27[[#This Row],[MAU]]</f>
        <v>8.4996304508499626E-2</v>
      </c>
    </row>
    <row r="25" spans="1:7" x14ac:dyDescent="0.3">
      <c r="A25" t="s">
        <v>23</v>
      </c>
      <c r="B25" t="s">
        <v>50</v>
      </c>
      <c r="C25">
        <v>2025</v>
      </c>
      <c r="D25" s="40">
        <v>242286</v>
      </c>
      <c r="E25">
        <v>133.1</v>
      </c>
      <c r="F25">
        <v>12.2</v>
      </c>
      <c r="G25" s="14">
        <f>Table27[[#This Row],[Paid Subscribers]]/Table27[[#This Row],[MAU]]</f>
        <v>9.1660405709992482E-2</v>
      </c>
    </row>
    <row r="26" spans="1:7" x14ac:dyDescent="0.3">
      <c r="A26" t="s">
        <v>24</v>
      </c>
      <c r="B26" t="s">
        <v>47</v>
      </c>
      <c r="C26">
        <v>2026</v>
      </c>
      <c r="D26" s="35">
        <v>250908</v>
      </c>
      <c r="E26">
        <v>137.80000000000001</v>
      </c>
      <c r="F26">
        <v>12.5</v>
      </c>
      <c r="G26" s="14">
        <f>Table27[[#This Row],[Paid Subscribers]]/Table27[[#This Row],[MAU]]</f>
        <v>9.071117561683599E-2</v>
      </c>
    </row>
  </sheetData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E451-BEE9-4D44-863C-4B424A5318AB}">
  <dimension ref="A1:J26"/>
  <sheetViews>
    <sheetView zoomScale="71" workbookViewId="0">
      <selection activeCell="O19" sqref="O19"/>
    </sheetView>
  </sheetViews>
  <sheetFormatPr defaultRowHeight="14.4" x14ac:dyDescent="0.3"/>
  <cols>
    <col min="1" max="1" width="12.44140625" customWidth="1"/>
    <col min="2" max="2" width="9.44140625" customWidth="1"/>
    <col min="4" max="4" width="13.6640625" bestFit="1" customWidth="1"/>
    <col min="5" max="5" width="16.77734375" customWidth="1"/>
    <col min="6" max="6" width="17" bestFit="1" customWidth="1"/>
    <col min="8" max="8" width="13.77734375" bestFit="1" customWidth="1"/>
    <col min="9" max="9" width="15.88671875" bestFit="1" customWidth="1"/>
    <col min="10" max="10" width="9.33203125" bestFit="1" customWidth="1"/>
  </cols>
  <sheetData>
    <row r="1" spans="1:10" x14ac:dyDescent="0.3">
      <c r="A1" s="38" t="s">
        <v>25</v>
      </c>
      <c r="B1" s="38" t="s">
        <v>52</v>
      </c>
      <c r="C1" s="38" t="s">
        <v>51</v>
      </c>
      <c r="D1" s="38" t="s">
        <v>31</v>
      </c>
      <c r="E1" s="38" t="s">
        <v>71</v>
      </c>
      <c r="F1" s="38" t="s">
        <v>74</v>
      </c>
      <c r="H1" s="5" t="s">
        <v>52</v>
      </c>
      <c r="I1" t="s">
        <v>47</v>
      </c>
    </row>
    <row r="2" spans="1:10" x14ac:dyDescent="0.3">
      <c r="A2" s="29" t="s">
        <v>0</v>
      </c>
      <c r="B2" s="29" t="s">
        <v>47</v>
      </c>
      <c r="C2" s="29">
        <v>2020</v>
      </c>
      <c r="D2" s="30">
        <v>22171</v>
      </c>
      <c r="E2" s="31">
        <v>1.1000000000000001</v>
      </c>
      <c r="F2" s="37">
        <f>D2/(E2*1000)</f>
        <v>20.155454545454546</v>
      </c>
    </row>
    <row r="3" spans="1:10" x14ac:dyDescent="0.3">
      <c r="A3" s="32" t="s">
        <v>1</v>
      </c>
      <c r="B3" s="32" t="s">
        <v>48</v>
      </c>
      <c r="C3" s="32">
        <v>2020</v>
      </c>
      <c r="D3" s="33">
        <v>28274</v>
      </c>
      <c r="E3" s="34">
        <v>1.3</v>
      </c>
      <c r="F3" s="37">
        <f t="shared" ref="F3:F26" si="0">D3/(E3*1000)</f>
        <v>21.74923076923077</v>
      </c>
      <c r="H3" s="5" t="s">
        <v>64</v>
      </c>
      <c r="I3" t="s">
        <v>88</v>
      </c>
      <c r="J3" t="s">
        <v>87</v>
      </c>
    </row>
    <row r="4" spans="1:10" x14ac:dyDescent="0.3">
      <c r="A4" s="29" t="s">
        <v>2</v>
      </c>
      <c r="B4" s="29" t="s">
        <v>49</v>
      </c>
      <c r="C4" s="29">
        <v>2020</v>
      </c>
      <c r="D4" s="30">
        <v>32317</v>
      </c>
      <c r="E4" s="31">
        <v>1.5</v>
      </c>
      <c r="F4" s="37">
        <f t="shared" si="0"/>
        <v>21.544666666666668</v>
      </c>
      <c r="H4" s="6" t="s">
        <v>0</v>
      </c>
      <c r="I4" s="25">
        <v>1.1000000000000001</v>
      </c>
      <c r="J4" s="21">
        <v>20.155454545454546</v>
      </c>
    </row>
    <row r="5" spans="1:10" x14ac:dyDescent="0.3">
      <c r="A5" s="32" t="s">
        <v>3</v>
      </c>
      <c r="B5" s="32" t="s">
        <v>50</v>
      </c>
      <c r="C5" s="32">
        <v>2020</v>
      </c>
      <c r="D5" s="33">
        <v>34739</v>
      </c>
      <c r="E5" s="34">
        <v>1.6</v>
      </c>
      <c r="F5" s="37">
        <f t="shared" si="0"/>
        <v>21.711874999999999</v>
      </c>
      <c r="H5" s="6" t="s">
        <v>4</v>
      </c>
      <c r="I5" s="25">
        <v>1.8</v>
      </c>
      <c r="J5" s="21">
        <v>36.413636363636364</v>
      </c>
    </row>
    <row r="6" spans="1:10" x14ac:dyDescent="0.3">
      <c r="A6" s="29" t="s">
        <v>4</v>
      </c>
      <c r="B6" s="29" t="s">
        <v>47</v>
      </c>
      <c r="C6" s="29">
        <v>2021</v>
      </c>
      <c r="D6" s="30">
        <v>40055</v>
      </c>
      <c r="E6" s="31">
        <v>1.8</v>
      </c>
      <c r="F6" s="37">
        <f t="shared" si="0"/>
        <v>22.252777777777776</v>
      </c>
      <c r="H6" s="6" t="s">
        <v>8</v>
      </c>
      <c r="I6" s="25">
        <v>2.9</v>
      </c>
      <c r="J6" s="21">
        <v>52.736363636363635</v>
      </c>
    </row>
    <row r="7" spans="1:10" x14ac:dyDescent="0.3">
      <c r="A7" s="32" t="s">
        <v>5</v>
      </c>
      <c r="B7" s="32" t="s">
        <v>48</v>
      </c>
      <c r="C7" s="32">
        <v>2021</v>
      </c>
      <c r="D7" s="33">
        <v>43502</v>
      </c>
      <c r="E7" s="34">
        <v>1.9</v>
      </c>
      <c r="F7" s="37">
        <f t="shared" si="0"/>
        <v>22.895789473684211</v>
      </c>
      <c r="H7" s="6" t="s">
        <v>12</v>
      </c>
      <c r="I7" s="25">
        <v>4.8</v>
      </c>
      <c r="J7" s="21">
        <v>78.349999999999994</v>
      </c>
    </row>
    <row r="8" spans="1:10" x14ac:dyDescent="0.3">
      <c r="A8" s="29" t="s">
        <v>6</v>
      </c>
      <c r="B8" s="29" t="s">
        <v>49</v>
      </c>
      <c r="C8" s="29">
        <v>2021</v>
      </c>
      <c r="D8" s="30">
        <v>46030</v>
      </c>
      <c r="E8" s="31">
        <v>2.2000000000000002</v>
      </c>
      <c r="F8" s="37">
        <f t="shared" si="0"/>
        <v>20.922727272727272</v>
      </c>
      <c r="H8" s="6" t="s">
        <v>16</v>
      </c>
      <c r="I8" s="25">
        <v>7.4</v>
      </c>
      <c r="J8" s="21">
        <v>119.71636363636364</v>
      </c>
    </row>
    <row r="9" spans="1:10" x14ac:dyDescent="0.3">
      <c r="A9" s="32" t="s">
        <v>7</v>
      </c>
      <c r="B9" s="32" t="s">
        <v>50</v>
      </c>
      <c r="C9" s="32">
        <v>2021</v>
      </c>
      <c r="D9" s="33">
        <v>51111</v>
      </c>
      <c r="E9" s="34">
        <v>2.5</v>
      </c>
      <c r="F9" s="37">
        <f t="shared" si="0"/>
        <v>20.444400000000002</v>
      </c>
      <c r="H9" s="6" t="s">
        <v>20</v>
      </c>
      <c r="I9" s="25">
        <v>10.3</v>
      </c>
      <c r="J9" s="21">
        <v>173.62454545454545</v>
      </c>
    </row>
    <row r="10" spans="1:10" x14ac:dyDescent="0.3">
      <c r="A10" s="29" t="s">
        <v>8</v>
      </c>
      <c r="B10" s="29" t="s">
        <v>47</v>
      </c>
      <c r="C10" s="29">
        <v>2022</v>
      </c>
      <c r="D10" s="30">
        <v>58010</v>
      </c>
      <c r="E10" s="31">
        <v>2.9</v>
      </c>
      <c r="F10" s="37">
        <f t="shared" si="0"/>
        <v>20.00344827586207</v>
      </c>
      <c r="H10" s="6" t="s">
        <v>24</v>
      </c>
      <c r="I10" s="25">
        <v>12.5</v>
      </c>
      <c r="J10" s="21">
        <v>228.09818181818181</v>
      </c>
    </row>
    <row r="11" spans="1:10" x14ac:dyDescent="0.3">
      <c r="A11" s="32" t="s">
        <v>9</v>
      </c>
      <c r="B11" s="32" t="s">
        <v>48</v>
      </c>
      <c r="C11" s="32">
        <v>2022</v>
      </c>
      <c r="D11" s="33">
        <v>65194</v>
      </c>
      <c r="E11" s="34">
        <v>3.3</v>
      </c>
      <c r="F11" s="37">
        <f t="shared" si="0"/>
        <v>19.755757575757574</v>
      </c>
      <c r="H11" s="6" t="s">
        <v>54</v>
      </c>
      <c r="I11" s="25">
        <v>40.799999999999997</v>
      </c>
      <c r="J11" s="21">
        <v>709.09454545454548</v>
      </c>
    </row>
    <row r="12" spans="1:10" x14ac:dyDescent="0.3">
      <c r="A12" s="29" t="s">
        <v>10</v>
      </c>
      <c r="B12" s="29" t="s">
        <v>49</v>
      </c>
      <c r="C12" s="29">
        <v>2022</v>
      </c>
      <c r="D12" s="30">
        <v>72172</v>
      </c>
      <c r="E12" s="31">
        <v>3.7</v>
      </c>
      <c r="F12" s="37">
        <f t="shared" si="0"/>
        <v>19.505945945945946</v>
      </c>
    </row>
    <row r="13" spans="1:10" x14ac:dyDescent="0.3">
      <c r="A13" s="32" t="s">
        <v>11</v>
      </c>
      <c r="B13" s="32" t="s">
        <v>50</v>
      </c>
      <c r="C13" s="32">
        <v>2022</v>
      </c>
      <c r="D13" s="33">
        <v>78131</v>
      </c>
      <c r="E13" s="34">
        <v>4.2</v>
      </c>
      <c r="F13" s="37">
        <f t="shared" si="0"/>
        <v>18.602619047619047</v>
      </c>
    </row>
    <row r="14" spans="1:10" x14ac:dyDescent="0.3">
      <c r="A14" s="29" t="s">
        <v>12</v>
      </c>
      <c r="B14" s="29" t="s">
        <v>47</v>
      </c>
      <c r="C14" s="29">
        <v>2023</v>
      </c>
      <c r="D14" s="30">
        <v>86185</v>
      </c>
      <c r="E14" s="31">
        <v>4.8</v>
      </c>
      <c r="F14" s="37">
        <f t="shared" si="0"/>
        <v>17.955208333333335</v>
      </c>
    </row>
    <row r="15" spans="1:10" x14ac:dyDescent="0.3">
      <c r="A15" s="32" t="s">
        <v>13</v>
      </c>
      <c r="B15" s="32" t="s">
        <v>48</v>
      </c>
      <c r="C15" s="32">
        <v>2023</v>
      </c>
      <c r="D15" s="33">
        <v>95158</v>
      </c>
      <c r="E15" s="34">
        <v>5.2</v>
      </c>
      <c r="F15" s="37">
        <f t="shared" si="0"/>
        <v>18.299615384615386</v>
      </c>
    </row>
    <row r="16" spans="1:10" x14ac:dyDescent="0.3">
      <c r="A16" s="29" t="s">
        <v>14</v>
      </c>
      <c r="B16" s="29" t="s">
        <v>49</v>
      </c>
      <c r="C16" s="29">
        <v>2023</v>
      </c>
      <c r="D16" s="30">
        <v>105887</v>
      </c>
      <c r="E16" s="31">
        <v>5.8</v>
      </c>
      <c r="F16" s="37">
        <f t="shared" si="0"/>
        <v>18.256379310344826</v>
      </c>
    </row>
    <row r="17" spans="1:6" x14ac:dyDescent="0.3">
      <c r="A17" s="32" t="s">
        <v>15</v>
      </c>
      <c r="B17" s="32" t="s">
        <v>50</v>
      </c>
      <c r="C17" s="32">
        <v>2023</v>
      </c>
      <c r="D17" s="33">
        <v>117454</v>
      </c>
      <c r="E17" s="34">
        <v>6.6</v>
      </c>
      <c r="F17" s="37">
        <f t="shared" si="0"/>
        <v>17.796060606060607</v>
      </c>
    </row>
    <row r="18" spans="1:6" x14ac:dyDescent="0.3">
      <c r="A18" s="29" t="s">
        <v>16</v>
      </c>
      <c r="B18" s="29" t="s">
        <v>47</v>
      </c>
      <c r="C18" s="29">
        <v>2024</v>
      </c>
      <c r="D18" s="30">
        <v>131688</v>
      </c>
      <c r="E18" s="31">
        <v>7.4</v>
      </c>
      <c r="F18" s="37">
        <f t="shared" si="0"/>
        <v>17.795675675675675</v>
      </c>
    </row>
    <row r="19" spans="1:6" x14ac:dyDescent="0.3">
      <c r="A19" s="32" t="s">
        <v>17</v>
      </c>
      <c r="B19" s="32" t="s">
        <v>48</v>
      </c>
      <c r="C19" s="32">
        <v>2024</v>
      </c>
      <c r="D19" s="33">
        <v>143909</v>
      </c>
      <c r="E19" s="34">
        <v>8</v>
      </c>
      <c r="F19" s="37">
        <f t="shared" si="0"/>
        <v>17.988624999999999</v>
      </c>
    </row>
    <row r="20" spans="1:6" x14ac:dyDescent="0.3">
      <c r="A20" s="29" t="s">
        <v>18</v>
      </c>
      <c r="B20" s="29" t="s">
        <v>49</v>
      </c>
      <c r="C20" s="29">
        <v>2024</v>
      </c>
      <c r="D20" s="30">
        <v>157617</v>
      </c>
      <c r="E20" s="31">
        <v>8.6</v>
      </c>
      <c r="F20" s="37">
        <f t="shared" si="0"/>
        <v>18.327558139534883</v>
      </c>
    </row>
    <row r="21" spans="1:6" x14ac:dyDescent="0.3">
      <c r="A21" s="32" t="s">
        <v>19</v>
      </c>
      <c r="B21" s="32" t="s">
        <v>50</v>
      </c>
      <c r="C21" s="32">
        <v>2024</v>
      </c>
      <c r="D21" s="33">
        <v>174317</v>
      </c>
      <c r="E21" s="34">
        <v>9.5</v>
      </c>
      <c r="F21" s="37">
        <f t="shared" si="0"/>
        <v>18.349157894736841</v>
      </c>
    </row>
    <row r="22" spans="1:6" x14ac:dyDescent="0.3">
      <c r="A22" s="29" t="s">
        <v>20</v>
      </c>
      <c r="B22" s="29" t="s">
        <v>47</v>
      </c>
      <c r="C22" s="29">
        <v>2025</v>
      </c>
      <c r="D22" s="30">
        <v>190987</v>
      </c>
      <c r="E22" s="31">
        <v>10.3</v>
      </c>
      <c r="F22" s="37">
        <f t="shared" si="0"/>
        <v>18.542427184466021</v>
      </c>
    </row>
    <row r="23" spans="1:6" x14ac:dyDescent="0.3">
      <c r="A23" s="32" t="s">
        <v>21</v>
      </c>
      <c r="B23" s="32" t="s">
        <v>48</v>
      </c>
      <c r="C23" s="32">
        <v>2025</v>
      </c>
      <c r="D23" s="33">
        <v>210678</v>
      </c>
      <c r="E23" s="34">
        <v>10.9</v>
      </c>
      <c r="F23" s="37">
        <f t="shared" si="0"/>
        <v>19.328256880733946</v>
      </c>
    </row>
    <row r="24" spans="1:6" x14ac:dyDescent="0.3">
      <c r="A24" s="29" t="s">
        <v>22</v>
      </c>
      <c r="B24" s="29" t="s">
        <v>49</v>
      </c>
      <c r="C24" s="29">
        <v>2025</v>
      </c>
      <c r="D24" s="30">
        <v>229491</v>
      </c>
      <c r="E24" s="31">
        <v>11.5</v>
      </c>
      <c r="F24" s="37">
        <f t="shared" si="0"/>
        <v>19.955739130434782</v>
      </c>
    </row>
    <row r="25" spans="1:6" x14ac:dyDescent="0.3">
      <c r="A25" s="32" t="s">
        <v>23</v>
      </c>
      <c r="B25" s="32" t="s">
        <v>50</v>
      </c>
      <c r="C25" s="32">
        <v>2025</v>
      </c>
      <c r="D25" s="33">
        <v>242286</v>
      </c>
      <c r="E25" s="34">
        <v>12.2</v>
      </c>
      <c r="F25" s="37">
        <f t="shared" si="0"/>
        <v>19.859508196721311</v>
      </c>
    </row>
    <row r="26" spans="1:6" x14ac:dyDescent="0.3">
      <c r="A26" s="28" t="s">
        <v>24</v>
      </c>
      <c r="B26" s="28" t="s">
        <v>47</v>
      </c>
      <c r="C26" s="28">
        <v>2026</v>
      </c>
      <c r="D26" s="35">
        <v>250908</v>
      </c>
      <c r="E26" s="36">
        <v>12.5</v>
      </c>
      <c r="F26" s="37">
        <f t="shared" si="0"/>
        <v>20.07264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Revenue by Quarter (2020-2026)</vt:lpstr>
      <vt:lpstr>Revenue by Product</vt:lpstr>
      <vt:lpstr>Sales Marketing</vt:lpstr>
      <vt:lpstr>CAC</vt:lpstr>
      <vt:lpstr>Paid, MAU, Convers, Subs</vt:lpstr>
      <vt:lpstr>Paid Subs &amp; ARPPU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2026-08-01T13:06:00Z</dcterms:created>
  <dcterms:modified xsi:type="dcterms:W3CDTF">2026-08-17T04:21:31Z</dcterms:modified>
</cp:coreProperties>
</file>